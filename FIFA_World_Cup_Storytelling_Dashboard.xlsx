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E14F90B9-457B-45F0-B927-E47DA688885A}" xr6:coauthVersionLast="47" xr6:coauthVersionMax="47" xr10:uidLastSave="{00000000-0000-0000-0000-000000000000}"/>
  <bookViews>
    <workbookView xWindow="-108" yWindow="-108" windowWidth="23256" windowHeight="13896" xr2:uid="{74FE164C-8A90-4DCC-9426-B2812E220037}"/>
  </bookViews>
  <sheets>
    <sheet name="DASHBOARD" sheetId="17" r:id="rId1"/>
    <sheet name="fact_worldcup_matches" sheetId="1" r:id="rId2"/>
    <sheet name="Pivots_Core" sheetId="10" state="hidden" r:id="rId3"/>
    <sheet name="01_Goals_by_Stage" sheetId="13" state="hidden" r:id="rId4"/>
    <sheet name="02_Win_Method_by_Stage" sheetId="14" state="hidden" r:id="rId5"/>
    <sheet name="03_Host_Advantage" sheetId="15" state="hidden" r:id="rId6"/>
    <sheet name="04_High_vs_Low_Pressure" sheetId="16" state="hidden" r:id="rId7"/>
  </sheets>
  <definedNames>
    <definedName name="_xlcn.WorksheetConnection_World_Cup_Storytelling_Dashboard.xlsxworld_cup_matches91" hidden="1">world_cup_matches9[]</definedName>
    <definedName name="ExternalData_6" localSheetId="1" hidden="1">fact_worldcup_matches!$A$1:$N$901</definedName>
  </definedNames>
  <calcPr calcId="191029"/>
  <pivotCaches>
    <pivotCache cacheId="26" r:id="rId8"/>
    <pivotCache cacheId="29" r:id="rId9"/>
    <pivotCache cacheId="32" r:id="rId10"/>
    <pivotCache cacheId="35" r:id="rId11"/>
    <pivotCache cacheId="38" r:id="rId12"/>
    <pivotCache cacheId="41" r:id="rId13"/>
    <pivotCache cacheId="44" r:id="rId14"/>
    <pivotCache cacheId="4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orld_cup_matches9" name="world_cup_matches9" connection="WorksheetConnection_World_Cup_Storytelling_Dashboard.xlsx!world_cup_matches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1" l="1" a="1"/>
  <c r="D86" i="1" s="1"/>
  <c r="D87" i="1" a="1"/>
  <c r="D87" i="1" s="1"/>
  <c r="D88" i="1" a="1"/>
  <c r="D88" i="1"/>
  <c r="D89" i="1" a="1"/>
  <c r="D89" i="1" s="1"/>
  <c r="D90" i="1" a="1"/>
  <c r="D90" i="1" s="1"/>
  <c r="D91" i="1" a="1"/>
  <c r="D91" i="1" s="1"/>
  <c r="F91" i="1" s="1"/>
  <c r="D92" i="1" a="1"/>
  <c r="D92" i="1" s="1"/>
  <c r="F92" i="1" s="1"/>
  <c r="D93" i="1" a="1"/>
  <c r="D93" i="1" s="1"/>
  <c r="F93" i="1" s="1"/>
  <c r="D94" i="1" a="1"/>
  <c r="D94" i="1" s="1"/>
  <c r="F94" i="1" s="1"/>
  <c r="D95" i="1" a="1"/>
  <c r="D95" i="1" s="1"/>
  <c r="F95" i="1" s="1"/>
  <c r="D96" i="1" a="1"/>
  <c r="D96" i="1" s="1"/>
  <c r="F96" i="1" s="1"/>
  <c r="D97" i="1" a="1"/>
  <c r="D97" i="1" s="1"/>
  <c r="F97" i="1" s="1"/>
  <c r="D98" i="1" a="1"/>
  <c r="D98" i="1" s="1"/>
  <c r="D99" i="1" a="1"/>
  <c r="D99" i="1" s="1"/>
  <c r="D100" i="1" a="1"/>
  <c r="D100" i="1" s="1"/>
  <c r="F100" i="1" s="1"/>
  <c r="D821" i="1" a="1"/>
  <c r="D821" i="1" s="1"/>
  <c r="F821" i="1" s="1"/>
  <c r="D822" i="1" a="1"/>
  <c r="D822" i="1" s="1"/>
  <c r="D882" i="1" a="1"/>
  <c r="D882" i="1" s="1"/>
  <c r="D666" i="1" a="1"/>
  <c r="D666" i="1" s="1"/>
  <c r="F666" i="1" s="1"/>
  <c r="D667" i="1" a="1"/>
  <c r="D667" i="1" s="1"/>
  <c r="F667" i="1" s="1"/>
  <c r="D668" i="1" a="1"/>
  <c r="D668" i="1" s="1"/>
  <c r="F668" i="1" s="1"/>
  <c r="D669" i="1" a="1"/>
  <c r="D669" i="1" s="1"/>
  <c r="D670" i="1" a="1"/>
  <c r="D670" i="1" s="1"/>
  <c r="F670" i="1" s="1"/>
  <c r="D671" i="1" a="1"/>
  <c r="D671" i="1" s="1"/>
  <c r="F671" i="1" s="1"/>
  <c r="D672" i="1" a="1"/>
  <c r="D672" i="1" s="1"/>
  <c r="D673" i="1" a="1"/>
  <c r="D673" i="1" s="1"/>
  <c r="D755" i="1" a="1"/>
  <c r="D755" i="1" s="1"/>
  <c r="F755" i="1" s="1"/>
  <c r="D756" i="1" a="1"/>
  <c r="D756" i="1" s="1"/>
  <c r="F756" i="1" s="1"/>
  <c r="D757" i="1" a="1"/>
  <c r="D757" i="1" s="1"/>
  <c r="F757" i="1" s="1"/>
  <c r="D758" i="1" a="1"/>
  <c r="D758" i="1"/>
  <c r="D759" i="1" a="1"/>
  <c r="D759" i="1" s="1"/>
  <c r="D823" i="1" a="1"/>
  <c r="D823" i="1" s="1"/>
  <c r="F823" i="1" s="1"/>
  <c r="D824" i="1" a="1"/>
  <c r="D824" i="1" s="1"/>
  <c r="F824" i="1" s="1"/>
  <c r="D857" i="1" a="1"/>
  <c r="D857" i="1" s="1"/>
  <c r="D883" i="1" a="1"/>
  <c r="D883" i="1" s="1"/>
  <c r="F883" i="1" s="1"/>
  <c r="D674" i="1" a="1"/>
  <c r="D674" i="1" s="1"/>
  <c r="F674" i="1" s="1"/>
  <c r="D675" i="1" a="1"/>
  <c r="D675" i="1" s="1"/>
  <c r="F675" i="1" s="1"/>
  <c r="D676" i="1" a="1"/>
  <c r="D676" i="1" s="1"/>
  <c r="F676" i="1" s="1"/>
  <c r="D677" i="1" a="1"/>
  <c r="D677" i="1" s="1"/>
  <c r="F677" i="1" s="1"/>
  <c r="D678" i="1" a="1"/>
  <c r="D678" i="1" s="1"/>
  <c r="F678" i="1" s="1"/>
  <c r="D679" i="1" a="1"/>
  <c r="D679" i="1" s="1"/>
  <c r="D680" i="1" a="1"/>
  <c r="D680" i="1" s="1"/>
  <c r="F680" i="1" s="1"/>
  <c r="D681" i="1" a="1"/>
  <c r="D681" i="1" s="1"/>
  <c r="F681" i="1" s="1"/>
  <c r="D682" i="1" a="1"/>
  <c r="D682" i="1" s="1"/>
  <c r="F682" i="1" s="1"/>
  <c r="D760" i="1" a="1"/>
  <c r="D760" i="1" s="1"/>
  <c r="F760" i="1" s="1"/>
  <c r="D761" i="1" a="1"/>
  <c r="D761" i="1" s="1"/>
  <c r="D762" i="1" a="1"/>
  <c r="D762" i="1" s="1"/>
  <c r="F762" i="1" s="1"/>
  <c r="D763" i="1" a="1"/>
  <c r="D763" i="1" s="1"/>
  <c r="F763" i="1" s="1"/>
  <c r="D764" i="1" a="1"/>
  <c r="D764" i="1" s="1"/>
  <c r="D825" i="1" a="1"/>
  <c r="D825" i="1" s="1"/>
  <c r="D826" i="1" a="1"/>
  <c r="D826" i="1" s="1"/>
  <c r="F826" i="1" s="1"/>
  <c r="D858" i="1" a="1"/>
  <c r="D858" i="1" s="1"/>
  <c r="D884" i="1" a="1"/>
  <c r="D884" i="1" s="1"/>
  <c r="D650" i="1" a="1"/>
  <c r="D650" i="1" s="1"/>
  <c r="F650" i="1" s="1"/>
  <c r="D651" i="1" a="1"/>
  <c r="D651" i="1" s="1"/>
  <c r="F651" i="1" s="1"/>
  <c r="D652" i="1" a="1"/>
  <c r="D652" i="1" s="1"/>
  <c r="F652" i="1" s="1"/>
  <c r="D653" i="1" a="1"/>
  <c r="D653" i="1" s="1"/>
  <c r="D654" i="1" a="1"/>
  <c r="D654" i="1" s="1"/>
  <c r="F654" i="1" s="1"/>
  <c r="D655" i="1" a="1"/>
  <c r="D655" i="1"/>
  <c r="D656" i="1" a="1"/>
  <c r="D656" i="1" s="1"/>
  <c r="F656" i="1" s="1"/>
  <c r="D657" i="1" a="1"/>
  <c r="D657" i="1" s="1"/>
  <c r="D658" i="1" a="1"/>
  <c r="D658" i="1" s="1"/>
  <c r="D659" i="1" a="1"/>
  <c r="D659" i="1" s="1"/>
  <c r="F659" i="1" s="1"/>
  <c r="D660" i="1" a="1"/>
  <c r="D660" i="1" s="1"/>
  <c r="F660" i="1" s="1"/>
  <c r="D661" i="1" a="1"/>
  <c r="D661" i="1" s="1"/>
  <c r="D662" i="1" a="1"/>
  <c r="D662" i="1" s="1"/>
  <c r="D663" i="1" a="1"/>
  <c r="D663" i="1" s="1"/>
  <c r="F663" i="1" s="1"/>
  <c r="D664" i="1" a="1"/>
  <c r="D664" i="1" s="1"/>
  <c r="F664" i="1" s="1"/>
  <c r="D665" i="1" a="1"/>
  <c r="D665" i="1" s="1"/>
  <c r="D876" i="1" a="1"/>
  <c r="D876" i="1" s="1"/>
  <c r="D877" i="1" a="1"/>
  <c r="D877" i="1" s="1"/>
  <c r="F877" i="1" s="1"/>
  <c r="D878" i="1" a="1"/>
  <c r="D878" i="1" s="1"/>
  <c r="F878" i="1" s="1"/>
  <c r="D879" i="1" a="1"/>
  <c r="D879" i="1" s="1"/>
  <c r="D880" i="1" a="1"/>
  <c r="D880" i="1" s="1"/>
  <c r="D881" i="1" a="1"/>
  <c r="D881" i="1"/>
  <c r="F881" i="1" s="1"/>
  <c r="D101" i="1" a="1"/>
  <c r="D101" i="1" s="1"/>
  <c r="D102" i="1" a="1"/>
  <c r="D102" i="1" s="1"/>
  <c r="D103" i="1" a="1"/>
  <c r="D103" i="1" s="1"/>
  <c r="F103" i="1" s="1"/>
  <c r="D104" i="1" a="1"/>
  <c r="D104" i="1" s="1"/>
  <c r="F104" i="1" s="1"/>
  <c r="D105" i="1" a="1"/>
  <c r="D105" i="1" s="1"/>
  <c r="F105" i="1" s="1"/>
  <c r="D106" i="1" a="1"/>
  <c r="D106" i="1" s="1"/>
  <c r="F106" i="1" s="1"/>
  <c r="D107" i="1" a="1"/>
  <c r="D107" i="1" s="1"/>
  <c r="D108" i="1" a="1"/>
  <c r="D108" i="1" s="1"/>
  <c r="F108" i="1" s="1"/>
  <c r="D109" i="1" a="1"/>
  <c r="D109" i="1"/>
  <c r="D110" i="1" a="1"/>
  <c r="D110" i="1" s="1"/>
  <c r="F110" i="1" s="1"/>
  <c r="D111" i="1" a="1"/>
  <c r="D111" i="1" s="1"/>
  <c r="F111" i="1" s="1"/>
  <c r="D112" i="1" a="1"/>
  <c r="D112" i="1" s="1"/>
  <c r="F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 s="1"/>
  <c r="D118" i="1" a="1"/>
  <c r="D118" i="1" s="1"/>
  <c r="F118" i="1" s="1"/>
  <c r="D765" i="1" a="1"/>
  <c r="D765" i="1" s="1"/>
  <c r="D766" i="1" a="1"/>
  <c r="D766" i="1" s="1"/>
  <c r="F766" i="1" s="1"/>
  <c r="D767" i="1" a="1"/>
  <c r="D767" i="1"/>
  <c r="F767" i="1" s="1"/>
  <c r="D768" i="1" a="1"/>
  <c r="D768" i="1" s="1"/>
  <c r="F768" i="1" s="1"/>
  <c r="D827" i="1" a="1"/>
  <c r="D827" i="1" s="1"/>
  <c r="D828" i="1" a="1"/>
  <c r="D828" i="1" s="1"/>
  <c r="F828" i="1" s="1"/>
  <c r="D859" i="1" a="1"/>
  <c r="D859" i="1" s="1"/>
  <c r="D885" i="1" a="1"/>
  <c r="D885" i="1" s="1"/>
  <c r="D119" i="1" a="1"/>
  <c r="D119" i="1" s="1"/>
  <c r="F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F124" i="1" s="1"/>
  <c r="D125" i="1" a="1"/>
  <c r="D125" i="1"/>
  <c r="F125" i="1" s="1"/>
  <c r="D126" i="1" a="1"/>
  <c r="D126" i="1" s="1"/>
  <c r="D127" i="1" a="1"/>
  <c r="D127" i="1" s="1"/>
  <c r="D128" i="1" a="1"/>
  <c r="D128" i="1"/>
  <c r="D129" i="1" a="1"/>
  <c r="D129" i="1" s="1"/>
  <c r="D130" i="1" a="1"/>
  <c r="D130" i="1" s="1"/>
  <c r="F130" i="1" s="1"/>
  <c r="D131" i="1" a="1"/>
  <c r="D131" i="1" s="1"/>
  <c r="F131" i="1" s="1"/>
  <c r="D132" i="1" a="1"/>
  <c r="D132" i="1" s="1"/>
  <c r="D133" i="1" a="1"/>
  <c r="D133" i="1" s="1"/>
  <c r="D134" i="1" a="1"/>
  <c r="D134" i="1" s="1"/>
  <c r="F134" i="1" s="1"/>
  <c r="D135" i="1" a="1"/>
  <c r="D135" i="1" s="1"/>
  <c r="F135" i="1" s="1"/>
  <c r="D136" i="1" a="1"/>
  <c r="D136" i="1" s="1"/>
  <c r="F136" i="1" s="1"/>
  <c r="D137" i="1" a="1"/>
  <c r="D137" i="1" s="1"/>
  <c r="F137" i="1" s="1"/>
  <c r="D138" i="1" a="1"/>
  <c r="D138" i="1" s="1"/>
  <c r="D139" i="1" a="1"/>
  <c r="D139" i="1" s="1"/>
  <c r="F139" i="1" s="1"/>
  <c r="D140" i="1" a="1"/>
  <c r="D140" i="1" s="1"/>
  <c r="D141" i="1" a="1"/>
  <c r="D141" i="1" s="1"/>
  <c r="D142" i="1" a="1"/>
  <c r="D142" i="1" s="1"/>
  <c r="D143" i="1" a="1"/>
  <c r="D143" i="1" s="1"/>
  <c r="F143" i="1" s="1"/>
  <c r="D144" i="1" a="1"/>
  <c r="D144" i="1" s="1"/>
  <c r="F144" i="1" s="1"/>
  <c r="D145" i="1" a="1"/>
  <c r="D145" i="1" s="1"/>
  <c r="F145" i="1" s="1"/>
  <c r="D769" i="1" a="1"/>
  <c r="D769" i="1" s="1"/>
  <c r="F769" i="1" s="1"/>
  <c r="D770" i="1" a="1"/>
  <c r="D770" i="1" s="1"/>
  <c r="F770" i="1" s="1"/>
  <c r="D771" i="1" a="1"/>
  <c r="D771" i="1" s="1"/>
  <c r="D772" i="1" a="1"/>
  <c r="D772" i="1" s="1"/>
  <c r="F772" i="1" s="1"/>
  <c r="D829" i="1" a="1"/>
  <c r="D829" i="1" s="1"/>
  <c r="D830" i="1" a="1"/>
  <c r="D830" i="1" s="1"/>
  <c r="D860" i="1" a="1"/>
  <c r="D860" i="1" s="1"/>
  <c r="F860" i="1" s="1"/>
  <c r="D886" i="1" a="1"/>
  <c r="D886" i="1" s="1"/>
  <c r="D146" i="1" a="1"/>
  <c r="D146" i="1" s="1"/>
  <c r="F146" i="1" s="1"/>
  <c r="D147" i="1" a="1"/>
  <c r="D147" i="1" s="1"/>
  <c r="D148" i="1" a="1"/>
  <c r="D148" i="1" s="1"/>
  <c r="D149" i="1" a="1"/>
  <c r="D149" i="1" s="1"/>
  <c r="F149" i="1" s="1"/>
  <c r="D150" i="1" a="1"/>
  <c r="D150" i="1" s="1"/>
  <c r="F150" i="1" s="1"/>
  <c r="D151" i="1" a="1"/>
  <c r="D151" i="1" s="1"/>
  <c r="D152" i="1" a="1"/>
  <c r="D152" i="1" s="1"/>
  <c r="F152" i="1" s="1"/>
  <c r="D153" i="1" a="1"/>
  <c r="D153" i="1" s="1"/>
  <c r="F153" i="1" s="1"/>
  <c r="D154" i="1" a="1"/>
  <c r="D154" i="1" s="1"/>
  <c r="D155" i="1" a="1"/>
  <c r="D155" i="1" s="1"/>
  <c r="D156" i="1" a="1"/>
  <c r="D156" i="1" s="1"/>
  <c r="D157" i="1" a="1"/>
  <c r="D157" i="1" s="1"/>
  <c r="D158" i="1" a="1"/>
  <c r="D158" i="1" s="1"/>
  <c r="F158" i="1" s="1"/>
  <c r="D159" i="1" a="1"/>
  <c r="D159" i="1"/>
  <c r="D160" i="1" a="1"/>
  <c r="D160" i="1" s="1"/>
  <c r="F160" i="1" s="1"/>
  <c r="D161" i="1" a="1"/>
  <c r="D161" i="1" s="1"/>
  <c r="F161" i="1" s="1"/>
  <c r="D162" i="1" a="1"/>
  <c r="D162" i="1" s="1"/>
  <c r="D163" i="1" a="1"/>
  <c r="D163" i="1" s="1"/>
  <c r="F163" i="1" s="1"/>
  <c r="D164" i="1" a="1"/>
  <c r="D164" i="1" s="1"/>
  <c r="D165" i="1" a="1"/>
  <c r="D165" i="1" s="1"/>
  <c r="F165" i="1" s="1"/>
  <c r="D166" i="1" a="1"/>
  <c r="D166" i="1" s="1"/>
  <c r="D167" i="1" a="1"/>
  <c r="D167" i="1" s="1"/>
  <c r="F167" i="1" s="1"/>
  <c r="D168" i="1" a="1"/>
  <c r="D168" i="1" s="1"/>
  <c r="F168" i="1" s="1"/>
  <c r="D169" i="1" a="1"/>
  <c r="D169" i="1" s="1"/>
  <c r="D773" i="1" a="1"/>
  <c r="D773" i="1" s="1"/>
  <c r="D774" i="1" a="1"/>
  <c r="D774" i="1" s="1"/>
  <c r="F774" i="1" s="1"/>
  <c r="D775" i="1" a="1"/>
  <c r="D775" i="1" s="1"/>
  <c r="F775" i="1" s="1"/>
  <c r="D776" i="1" a="1"/>
  <c r="D776" i="1" s="1"/>
  <c r="D831" i="1" a="1"/>
  <c r="D831" i="1" s="1"/>
  <c r="D832" i="1" a="1"/>
  <c r="D832" i="1" s="1"/>
  <c r="D861" i="1" a="1"/>
  <c r="D861" i="1" s="1"/>
  <c r="F861" i="1" s="1"/>
  <c r="D887" i="1" a="1"/>
  <c r="D887" i="1"/>
  <c r="F887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F174" i="1" s="1"/>
  <c r="D175" i="1" a="1"/>
  <c r="D175" i="1" s="1"/>
  <c r="F175" i="1" s="1"/>
  <c r="D176" i="1" a="1"/>
  <c r="D176" i="1" s="1"/>
  <c r="D177" i="1" a="1"/>
  <c r="D177" i="1" s="1"/>
  <c r="D178" i="1" a="1"/>
  <c r="D178" i="1" s="1"/>
  <c r="F178" i="1" s="1"/>
  <c r="D179" i="1" a="1"/>
  <c r="D179" i="1" s="1"/>
  <c r="D180" i="1" a="1"/>
  <c r="D180" i="1" s="1"/>
  <c r="F180" i="1" s="1"/>
  <c r="D181" i="1" a="1"/>
  <c r="D181" i="1" s="1"/>
  <c r="F181" i="1" s="1"/>
  <c r="D182" i="1" a="1"/>
  <c r="D182" i="1" s="1"/>
  <c r="D183" i="1" a="1"/>
  <c r="D183" i="1" s="1"/>
  <c r="D184" i="1" a="1"/>
  <c r="D184" i="1" s="1"/>
  <c r="F184" i="1" s="1"/>
  <c r="D185" i="1" a="1"/>
  <c r="D185" i="1" s="1"/>
  <c r="D186" i="1" a="1"/>
  <c r="D186" i="1" s="1"/>
  <c r="F186" i="1" s="1"/>
  <c r="D187" i="1" a="1"/>
  <c r="D187" i="1" s="1"/>
  <c r="D188" i="1" a="1"/>
  <c r="D188" i="1" s="1"/>
  <c r="D189" i="1" a="1"/>
  <c r="D189" i="1" s="1"/>
  <c r="F189" i="1" s="1"/>
  <c r="D190" i="1" a="1"/>
  <c r="D190" i="1" s="1"/>
  <c r="F190" i="1" s="1"/>
  <c r="D191" i="1" a="1"/>
  <c r="D191" i="1" s="1"/>
  <c r="D192" i="1" a="1"/>
  <c r="D192" i="1" s="1"/>
  <c r="F192" i="1" s="1"/>
  <c r="D193" i="1" a="1"/>
  <c r="D193" i="1" s="1"/>
  <c r="F193" i="1" s="1"/>
  <c r="D777" i="1" a="1"/>
  <c r="D777" i="1" s="1"/>
  <c r="F777" i="1" s="1"/>
  <c r="D778" i="1" a="1"/>
  <c r="D778" i="1" s="1"/>
  <c r="D779" i="1" a="1"/>
  <c r="D779" i="1" s="1"/>
  <c r="D780" i="1" a="1"/>
  <c r="D780" i="1" s="1"/>
  <c r="F780" i="1" s="1"/>
  <c r="D833" i="1" a="1"/>
  <c r="D833" i="1" s="1"/>
  <c r="F833" i="1" s="1"/>
  <c r="D834" i="1" a="1"/>
  <c r="D834" i="1" s="1"/>
  <c r="F834" i="1" s="1"/>
  <c r="D862" i="1" a="1"/>
  <c r="D862" i="1" s="1"/>
  <c r="F862" i="1" s="1"/>
  <c r="D888" i="1" a="1"/>
  <c r="D888" i="1" s="1"/>
  <c r="F888" i="1" s="1"/>
  <c r="D194" i="1" a="1"/>
  <c r="D194" i="1" s="1"/>
  <c r="F194" i="1" s="1"/>
  <c r="D195" i="1" a="1"/>
  <c r="D195" i="1" s="1"/>
  <c r="F195" i="1" s="1"/>
  <c r="D196" i="1" a="1"/>
  <c r="D196" i="1" s="1"/>
  <c r="D197" i="1" a="1"/>
  <c r="D197" i="1" s="1"/>
  <c r="F197" i="1" s="1"/>
  <c r="D198" i="1" a="1"/>
  <c r="D198" i="1" s="1"/>
  <c r="F198" i="1" s="1"/>
  <c r="D199" i="1" a="1"/>
  <c r="D199" i="1" s="1"/>
  <c r="D200" i="1" a="1"/>
  <c r="D200" i="1" s="1"/>
  <c r="F200" i="1" s="1"/>
  <c r="D201" i="1" a="1"/>
  <c r="D201" i="1" s="1"/>
  <c r="F201" i="1" s="1"/>
  <c r="D202" i="1" a="1"/>
  <c r="D202" i="1" s="1"/>
  <c r="F202" i="1" s="1"/>
  <c r="D203" i="1" a="1"/>
  <c r="D203" i="1" s="1"/>
  <c r="D204" i="1" a="1"/>
  <c r="D204" i="1" s="1"/>
  <c r="D205" i="1" a="1"/>
  <c r="D205" i="1" s="1"/>
  <c r="F205" i="1" s="1"/>
  <c r="D206" i="1" a="1"/>
  <c r="D206" i="1" s="1"/>
  <c r="F206" i="1" s="1"/>
  <c r="D207" i="1" a="1"/>
  <c r="D207" i="1" s="1"/>
  <c r="D208" i="1" a="1"/>
  <c r="D208" i="1" s="1"/>
  <c r="F208" i="1" s="1"/>
  <c r="D209" i="1" a="1"/>
  <c r="D209" i="1" s="1"/>
  <c r="F209" i="1" s="1"/>
  <c r="D210" i="1" a="1"/>
  <c r="D210" i="1" s="1"/>
  <c r="F210" i="1" s="1"/>
  <c r="D211" i="1" a="1"/>
  <c r="D211" i="1" s="1"/>
  <c r="D212" i="1" a="1"/>
  <c r="D212" i="1" s="1"/>
  <c r="F212" i="1" s="1"/>
  <c r="D213" i="1" a="1"/>
  <c r="D213" i="1" s="1"/>
  <c r="F213" i="1" s="1"/>
  <c r="D214" i="1" a="1"/>
  <c r="D214" i="1" s="1"/>
  <c r="F214" i="1" s="1"/>
  <c r="D215" i="1" a="1"/>
  <c r="D215" i="1"/>
  <c r="F215" i="1" s="1"/>
  <c r="D216" i="1" a="1"/>
  <c r="D216" i="1" s="1"/>
  <c r="D217" i="1" a="1"/>
  <c r="D217" i="1" s="1"/>
  <c r="D781" i="1" a="1"/>
  <c r="D781" i="1" s="1"/>
  <c r="D782" i="1" a="1"/>
  <c r="D782" i="1" s="1"/>
  <c r="D783" i="1" a="1"/>
  <c r="D783" i="1" s="1"/>
  <c r="D784" i="1" a="1"/>
  <c r="D784" i="1" s="1"/>
  <c r="F784" i="1" s="1"/>
  <c r="D835" i="1" a="1"/>
  <c r="D835" i="1" s="1"/>
  <c r="D836" i="1" a="1"/>
  <c r="D836" i="1" s="1"/>
  <c r="D863" i="1" a="1"/>
  <c r="D863" i="1"/>
  <c r="F863" i="1" s="1"/>
  <c r="D889" i="1" a="1"/>
  <c r="D889" i="1" s="1"/>
  <c r="F889" i="1" s="1"/>
  <c r="D2" i="1" a="1"/>
  <c r="D2" i="1" s="1"/>
  <c r="D3" i="1" a="1"/>
  <c r="D3" i="1" s="1"/>
  <c r="D4" i="1" a="1"/>
  <c r="D4" i="1" s="1"/>
  <c r="D5" i="1" a="1"/>
  <c r="D5" i="1" s="1"/>
  <c r="D6" i="1" a="1"/>
  <c r="D6" i="1" s="1"/>
  <c r="F6" i="1" s="1"/>
  <c r="D7" i="1" a="1"/>
  <c r="D7" i="1" s="1"/>
  <c r="D8" i="1" a="1"/>
  <c r="D8" i="1" s="1"/>
  <c r="F8" i="1" s="1"/>
  <c r="D9" i="1" a="1"/>
  <c r="D9" i="1" s="1"/>
  <c r="F9" i="1" s="1"/>
  <c r="D10" i="1" a="1"/>
  <c r="D10" i="1" s="1"/>
  <c r="F10" i="1" s="1"/>
  <c r="D11" i="1" a="1"/>
  <c r="D11" i="1" s="1"/>
  <c r="F11" i="1" s="1"/>
  <c r="D12" i="1" a="1"/>
  <c r="D12" i="1" s="1"/>
  <c r="F12" i="1" s="1"/>
  <c r="D13" i="1" a="1"/>
  <c r="D13" i="1" s="1"/>
  <c r="D14" i="1" a="1"/>
  <c r="D14" i="1" s="1"/>
  <c r="D15" i="1" a="1"/>
  <c r="D15" i="1"/>
  <c r="F15" i="1" s="1"/>
  <c r="D16" i="1" a="1"/>
  <c r="D16" i="1" s="1"/>
  <c r="F16" i="1" s="1"/>
  <c r="D17" i="1" a="1"/>
  <c r="D17" i="1" s="1"/>
  <c r="F17" i="1" s="1"/>
  <c r="D18" i="1" a="1"/>
  <c r="D18" i="1" s="1"/>
  <c r="F18" i="1" s="1"/>
  <c r="D19" i="1" a="1"/>
  <c r="D19" i="1" s="1"/>
  <c r="D20" i="1" a="1"/>
  <c r="D20" i="1" s="1"/>
  <c r="D21" i="1" a="1"/>
  <c r="D21" i="1" s="1"/>
  <c r="F21" i="1" s="1"/>
  <c r="D22" i="1" a="1"/>
  <c r="D22" i="1" s="1"/>
  <c r="F22" i="1" s="1"/>
  <c r="D23" i="1" a="1"/>
  <c r="D23" i="1" s="1"/>
  <c r="F23" i="1" s="1"/>
  <c r="D24" i="1" a="1"/>
  <c r="D24" i="1"/>
  <c r="D25" i="1" a="1"/>
  <c r="D25" i="1" s="1"/>
  <c r="D614" i="1" a="1"/>
  <c r="D614" i="1" s="1"/>
  <c r="D615" i="1" a="1"/>
  <c r="D615" i="1" s="1"/>
  <c r="D616" i="1" a="1"/>
  <c r="D616" i="1" s="1"/>
  <c r="D617" i="1" a="1"/>
  <c r="D617" i="1" s="1"/>
  <c r="F617" i="1" s="1"/>
  <c r="D618" i="1" a="1"/>
  <c r="D618" i="1" s="1"/>
  <c r="F618" i="1" s="1"/>
  <c r="D619" i="1" a="1"/>
  <c r="D619" i="1" s="1"/>
  <c r="F619" i="1" s="1"/>
  <c r="D620" i="1" a="1"/>
  <c r="D620" i="1" s="1"/>
  <c r="F620" i="1" s="1"/>
  <c r="D621" i="1" a="1"/>
  <c r="D621" i="1"/>
  <c r="F621" i="1" s="1"/>
  <c r="D622" i="1" a="1"/>
  <c r="D622" i="1" s="1"/>
  <c r="D623" i="1" a="1"/>
  <c r="D623" i="1" s="1"/>
  <c r="D624" i="1" a="1"/>
  <c r="D624" i="1" s="1"/>
  <c r="D625" i="1" a="1"/>
  <c r="D625" i="1" s="1"/>
  <c r="D864" i="1" a="1"/>
  <c r="D864" i="1" s="1"/>
  <c r="D890" i="1" a="1"/>
  <c r="D890" i="1" s="1"/>
  <c r="F890" i="1" s="1"/>
  <c r="D26" i="1" a="1"/>
  <c r="D26" i="1" s="1"/>
  <c r="F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F31" i="1" s="1"/>
  <c r="D32" i="1" a="1"/>
  <c r="D32" i="1" s="1"/>
  <c r="D33" i="1" a="1"/>
  <c r="D33" i="1" s="1"/>
  <c r="D34" i="1" a="1"/>
  <c r="D34" i="1" s="1"/>
  <c r="F34" i="1" s="1"/>
  <c r="D35" i="1" a="1"/>
  <c r="D35" i="1" s="1"/>
  <c r="F35" i="1" s="1"/>
  <c r="D36" i="1" a="1"/>
  <c r="D36" i="1" s="1"/>
  <c r="F36" i="1" s="1"/>
  <c r="D37" i="1" a="1"/>
  <c r="D37" i="1" s="1"/>
  <c r="D38" i="1" a="1"/>
  <c r="D38" i="1" s="1"/>
  <c r="F38" i="1" s="1"/>
  <c r="D39" i="1" a="1"/>
  <c r="D39" i="1" s="1"/>
  <c r="D40" i="1" a="1"/>
  <c r="D40" i="1" s="1"/>
  <c r="D41" i="1" a="1"/>
  <c r="D41" i="1" s="1"/>
  <c r="D42" i="1" a="1"/>
  <c r="D42" i="1" s="1"/>
  <c r="F42" i="1" s="1"/>
  <c r="D43" i="1" a="1"/>
  <c r="D43" i="1" s="1"/>
  <c r="F43" i="1" s="1"/>
  <c r="D44" i="1" a="1"/>
  <c r="D44" i="1" s="1"/>
  <c r="D45" i="1" a="1"/>
  <c r="D45" i="1" s="1"/>
  <c r="F45" i="1" s="1"/>
  <c r="D46" i="1" a="1"/>
  <c r="D46" i="1" s="1"/>
  <c r="D47" i="1" a="1"/>
  <c r="D47" i="1" s="1"/>
  <c r="F47" i="1" s="1"/>
  <c r="D48" i="1" a="1"/>
  <c r="D48" i="1" s="1"/>
  <c r="D49" i="1" a="1"/>
  <c r="D49" i="1" s="1"/>
  <c r="F49" i="1" s="1"/>
  <c r="D626" i="1" a="1"/>
  <c r="D626" i="1" s="1"/>
  <c r="D627" i="1" a="1"/>
  <c r="D627" i="1" s="1"/>
  <c r="F627" i="1" s="1"/>
  <c r="D628" i="1" a="1"/>
  <c r="D628" i="1" s="1"/>
  <c r="F628" i="1" s="1"/>
  <c r="D629" i="1" a="1"/>
  <c r="D629" i="1" s="1"/>
  <c r="F629" i="1" s="1"/>
  <c r="D630" i="1" a="1"/>
  <c r="D630" i="1" s="1"/>
  <c r="F630" i="1" s="1"/>
  <c r="D631" i="1" a="1"/>
  <c r="D631" i="1" s="1"/>
  <c r="F631" i="1" s="1"/>
  <c r="D632" i="1" a="1"/>
  <c r="D632" i="1" s="1"/>
  <c r="D633" i="1" a="1"/>
  <c r="D633" i="1" s="1"/>
  <c r="D634" i="1" a="1"/>
  <c r="D634" i="1" s="1"/>
  <c r="F634" i="1" s="1"/>
  <c r="D635" i="1" a="1"/>
  <c r="D635" i="1" s="1"/>
  <c r="D636" i="1" a="1"/>
  <c r="D636" i="1" s="1"/>
  <c r="D637" i="1" a="1"/>
  <c r="D637" i="1" s="1"/>
  <c r="F637" i="1" s="1"/>
  <c r="D865" i="1" a="1"/>
  <c r="D865" i="1" s="1"/>
  <c r="F865" i="1" s="1"/>
  <c r="D891" i="1" a="1"/>
  <c r="D891" i="1" s="1"/>
  <c r="F891" i="1" s="1"/>
  <c r="D50" i="1" a="1"/>
  <c r="D50" i="1" s="1"/>
  <c r="F50" i="1" s="1"/>
  <c r="D51" i="1" a="1"/>
  <c r="D51" i="1" s="1"/>
  <c r="F51" i="1" s="1"/>
  <c r="D52" i="1" a="1"/>
  <c r="D52" i="1"/>
  <c r="F52" i="1" s="1"/>
  <c r="D53" i="1" a="1"/>
  <c r="D53" i="1" s="1"/>
  <c r="F53" i="1" s="1"/>
  <c r="D54" i="1" a="1"/>
  <c r="D54" i="1" s="1"/>
  <c r="D55" i="1" a="1"/>
  <c r="D55" i="1" s="1"/>
  <c r="F55" i="1" s="1"/>
  <c r="D56" i="1" a="1"/>
  <c r="D56" i="1" s="1"/>
  <c r="D57" i="1" a="1"/>
  <c r="D57" i="1" s="1"/>
  <c r="D58" i="1" a="1"/>
  <c r="D58" i="1" s="1"/>
  <c r="D59" i="1" a="1"/>
  <c r="D59" i="1"/>
  <c r="F59" i="1" s="1"/>
  <c r="D60" i="1" a="1"/>
  <c r="D60" i="1" s="1"/>
  <c r="F60" i="1" s="1"/>
  <c r="D61" i="1" a="1"/>
  <c r="D61" i="1" s="1"/>
  <c r="F61" i="1" s="1"/>
  <c r="D62" i="1" a="1"/>
  <c r="D62" i="1" s="1"/>
  <c r="F62" i="1" s="1"/>
  <c r="D63" i="1" a="1"/>
  <c r="D63" i="1" s="1"/>
  <c r="D64" i="1" a="1"/>
  <c r="D64" i="1" s="1"/>
  <c r="D65" i="1" a="1"/>
  <c r="D65" i="1" s="1"/>
  <c r="F65" i="1" s="1"/>
  <c r="D66" i="1" a="1"/>
  <c r="D66" i="1" s="1"/>
  <c r="F66" i="1" s="1"/>
  <c r="D67" i="1" a="1"/>
  <c r="D67" i="1" s="1"/>
  <c r="F67" i="1" s="1"/>
  <c r="D68" i="1" a="1"/>
  <c r="D68" i="1" s="1"/>
  <c r="F68" i="1" s="1"/>
  <c r="D69" i="1" a="1"/>
  <c r="D69" i="1" s="1"/>
  <c r="F69" i="1" s="1"/>
  <c r="D70" i="1" a="1"/>
  <c r="D70" i="1" s="1"/>
  <c r="D71" i="1" a="1"/>
  <c r="D71" i="1" s="1"/>
  <c r="F71" i="1" s="1"/>
  <c r="D72" i="1" a="1"/>
  <c r="D72" i="1" s="1"/>
  <c r="F72" i="1" s="1"/>
  <c r="D73" i="1" a="1"/>
  <c r="D73" i="1" s="1"/>
  <c r="D74" i="1" a="1"/>
  <c r="D74" i="1" s="1"/>
  <c r="D75" i="1" a="1"/>
  <c r="D75" i="1" s="1"/>
  <c r="D76" i="1" a="1"/>
  <c r="D76" i="1" s="1"/>
  <c r="F76" i="1" s="1"/>
  <c r="D77" i="1" a="1"/>
  <c r="D77" i="1" s="1"/>
  <c r="F77" i="1" s="1"/>
  <c r="D78" i="1" a="1"/>
  <c r="D78" i="1" s="1"/>
  <c r="D79" i="1" a="1"/>
  <c r="D79" i="1" s="1"/>
  <c r="F79" i="1" s="1"/>
  <c r="D80" i="1" a="1"/>
  <c r="D80" i="1" s="1"/>
  <c r="F80" i="1" s="1"/>
  <c r="D81" i="1" a="1"/>
  <c r="D81" i="1" s="1"/>
  <c r="D82" i="1" a="1"/>
  <c r="D82" i="1" s="1"/>
  <c r="D83" i="1" a="1"/>
  <c r="D83" i="1" s="1"/>
  <c r="F83" i="1" s="1"/>
  <c r="D84" i="1" a="1"/>
  <c r="D84" i="1" s="1"/>
  <c r="F84" i="1" s="1"/>
  <c r="D85" i="1" a="1"/>
  <c r="D85" i="1" s="1"/>
  <c r="D638" i="1" a="1"/>
  <c r="D638" i="1" s="1"/>
  <c r="D639" i="1" a="1"/>
  <c r="D639" i="1" s="1"/>
  <c r="D640" i="1" a="1"/>
  <c r="D640" i="1" s="1"/>
  <c r="D641" i="1" a="1"/>
  <c r="D641" i="1" s="1"/>
  <c r="F641" i="1" s="1"/>
  <c r="D642" i="1" a="1"/>
  <c r="D642" i="1" s="1"/>
  <c r="D643" i="1" a="1"/>
  <c r="D643" i="1" s="1"/>
  <c r="D644" i="1" a="1"/>
  <c r="D644" i="1" s="1"/>
  <c r="F644" i="1" s="1"/>
  <c r="D645" i="1" a="1"/>
  <c r="D645" i="1" s="1"/>
  <c r="D646" i="1" a="1"/>
  <c r="D646" i="1" s="1"/>
  <c r="D647" i="1" a="1"/>
  <c r="D647" i="1" s="1"/>
  <c r="F647" i="1" s="1"/>
  <c r="D648" i="1" a="1"/>
  <c r="D648" i="1" s="1"/>
  <c r="F648" i="1" s="1"/>
  <c r="D649" i="1" a="1"/>
  <c r="D649" i="1" s="1"/>
  <c r="F649" i="1" s="1"/>
  <c r="D837" i="1" a="1"/>
  <c r="D837" i="1" s="1"/>
  <c r="F837" i="1" s="1"/>
  <c r="D838" i="1" a="1"/>
  <c r="D838" i="1" s="1"/>
  <c r="F838" i="1" s="1"/>
  <c r="D866" i="1" a="1"/>
  <c r="D866" i="1" s="1"/>
  <c r="F866" i="1" s="1"/>
  <c r="D892" i="1" a="1"/>
  <c r="D892" i="1"/>
  <c r="D218" i="1" a="1"/>
  <c r="D218" i="1" s="1"/>
  <c r="F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F223" i="1" s="1"/>
  <c r="D224" i="1" a="1"/>
  <c r="D224" i="1" s="1"/>
  <c r="F224" i="1" s="1"/>
  <c r="D225" i="1" a="1"/>
  <c r="D225" i="1" s="1"/>
  <c r="F225" i="1" s="1"/>
  <c r="D226" i="1" a="1"/>
  <c r="D226" i="1" s="1"/>
  <c r="F226" i="1" s="1"/>
  <c r="D227" i="1" a="1"/>
  <c r="D227" i="1" s="1"/>
  <c r="D228" i="1" a="1"/>
  <c r="D228" i="1" s="1"/>
  <c r="F228" i="1" s="1"/>
  <c r="D229" i="1" a="1"/>
  <c r="D229" i="1" s="1"/>
  <c r="F229" i="1" s="1"/>
  <c r="D230" i="1" a="1"/>
  <c r="D230" i="1" s="1"/>
  <c r="F230" i="1" s="1"/>
  <c r="D231" i="1" a="1"/>
  <c r="D231" i="1" s="1"/>
  <c r="D232" i="1" a="1"/>
  <c r="D232" i="1" s="1"/>
  <c r="F232" i="1" s="1"/>
  <c r="D233" i="1" a="1"/>
  <c r="D233" i="1" s="1"/>
  <c r="F233" i="1" s="1"/>
  <c r="D234" i="1" a="1"/>
  <c r="D234" i="1" s="1"/>
  <c r="F234" i="1" s="1"/>
  <c r="D235" i="1" a="1"/>
  <c r="D235" i="1" s="1"/>
  <c r="F235" i="1" s="1"/>
  <c r="D236" i="1" a="1"/>
  <c r="D236" i="1" s="1"/>
  <c r="D237" i="1" a="1"/>
  <c r="D237" i="1" s="1"/>
  <c r="F237" i="1" s="1"/>
  <c r="D238" i="1" a="1"/>
  <c r="D238" i="1" s="1"/>
  <c r="F238" i="1" s="1"/>
  <c r="D239" i="1" a="1"/>
  <c r="D239" i="1" s="1"/>
  <c r="D240" i="1" a="1"/>
  <c r="D240" i="1"/>
  <c r="F240" i="1" s="1"/>
  <c r="D241" i="1" a="1"/>
  <c r="D241" i="1" s="1"/>
  <c r="F241" i="1" s="1"/>
  <c r="D242" i="1" a="1"/>
  <c r="D242" i="1" s="1"/>
  <c r="D243" i="1" a="1"/>
  <c r="D243" i="1" s="1"/>
  <c r="D244" i="1" a="1"/>
  <c r="D244" i="1" s="1"/>
  <c r="D245" i="1" a="1"/>
  <c r="D245" i="1" s="1"/>
  <c r="F245" i="1" s="1"/>
  <c r="D246" i="1" a="1"/>
  <c r="D246" i="1" s="1"/>
  <c r="F246" i="1" s="1"/>
  <c r="D247" i="1" a="1"/>
  <c r="D247" i="1" s="1"/>
  <c r="F247" i="1" s="1"/>
  <c r="D248" i="1" a="1"/>
  <c r="D248" i="1" s="1"/>
  <c r="F248" i="1" s="1"/>
  <c r="D249" i="1" a="1"/>
  <c r="D249" i="1" s="1"/>
  <c r="D250" i="1" a="1"/>
  <c r="D250" i="1" s="1"/>
  <c r="F250" i="1" s="1"/>
  <c r="D251" i="1" a="1"/>
  <c r="D251" i="1" s="1"/>
  <c r="F251" i="1" s="1"/>
  <c r="D252" i="1" a="1"/>
  <c r="D252" i="1" s="1"/>
  <c r="F252" i="1" s="1"/>
  <c r="D253" i="1" a="1"/>
  <c r="D253" i="1" s="1"/>
  <c r="F253" i="1" s="1"/>
  <c r="D683" i="1" a="1"/>
  <c r="D683" i="1" s="1"/>
  <c r="D684" i="1" a="1"/>
  <c r="D684" i="1" s="1"/>
  <c r="F684" i="1" s="1"/>
  <c r="D685" i="1" a="1"/>
  <c r="D685" i="1" s="1"/>
  <c r="F685" i="1" s="1"/>
  <c r="D686" i="1" a="1"/>
  <c r="D686" i="1" s="1"/>
  <c r="F686" i="1" s="1"/>
  <c r="D687" i="1" a="1"/>
  <c r="D687" i="1" s="1"/>
  <c r="F687" i="1" s="1"/>
  <c r="D688" i="1" a="1"/>
  <c r="D688" i="1"/>
  <c r="F688" i="1" s="1"/>
  <c r="D689" i="1" a="1"/>
  <c r="D689" i="1" s="1"/>
  <c r="F689" i="1" s="1"/>
  <c r="D690" i="1" a="1"/>
  <c r="D690" i="1" s="1"/>
  <c r="D785" i="1" a="1"/>
  <c r="D785" i="1" s="1"/>
  <c r="F785" i="1" s="1"/>
  <c r="D786" i="1" a="1"/>
  <c r="D786" i="1" s="1"/>
  <c r="D787" i="1" a="1"/>
  <c r="D787" i="1" s="1"/>
  <c r="F787" i="1" s="1"/>
  <c r="D788" i="1" a="1"/>
  <c r="D788" i="1" s="1"/>
  <c r="F788" i="1" s="1"/>
  <c r="D839" i="1" a="1"/>
  <c r="D839" i="1" s="1"/>
  <c r="F839" i="1" s="1"/>
  <c r="D840" i="1" a="1"/>
  <c r="D840" i="1" s="1"/>
  <c r="F840" i="1" s="1"/>
  <c r="D867" i="1" a="1"/>
  <c r="D867" i="1" s="1"/>
  <c r="D893" i="1" a="1"/>
  <c r="D893" i="1" s="1"/>
  <c r="D254" i="1" a="1"/>
  <c r="D254" i="1" s="1"/>
  <c r="D255" i="1" a="1"/>
  <c r="D255" i="1" s="1"/>
  <c r="F255" i="1" s="1"/>
  <c r="D256" i="1" a="1"/>
  <c r="D256" i="1" s="1"/>
  <c r="F256" i="1" s="1"/>
  <c r="D257" i="1" a="1"/>
  <c r="D257" i="1" s="1"/>
  <c r="F257" i="1" s="1"/>
  <c r="D258" i="1" a="1"/>
  <c r="D258" i="1" s="1"/>
  <c r="F258" i="1" s="1"/>
  <c r="D259" i="1" a="1"/>
  <c r="D259" i="1" s="1"/>
  <c r="F259" i="1" s="1"/>
  <c r="D260" i="1" a="1"/>
  <c r="D260" i="1" s="1"/>
  <c r="F260" i="1" s="1"/>
  <c r="D261" i="1" a="1"/>
  <c r="D261" i="1" s="1"/>
  <c r="F261" i="1" s="1"/>
  <c r="D262" i="1" a="1"/>
  <c r="D262" i="1" s="1"/>
  <c r="F262" i="1" s="1"/>
  <c r="D263" i="1" a="1"/>
  <c r="D263" i="1" s="1"/>
  <c r="F263" i="1" s="1"/>
  <c r="D264" i="1" a="1"/>
  <c r="D264" i="1" s="1"/>
  <c r="F264" i="1" s="1"/>
  <c r="D265" i="1" a="1"/>
  <c r="D265" i="1" s="1"/>
  <c r="F265" i="1" s="1"/>
  <c r="D266" i="1" a="1"/>
  <c r="D266" i="1" s="1"/>
  <c r="D267" i="1" a="1"/>
  <c r="D267" i="1"/>
  <c r="F267" i="1" s="1"/>
  <c r="D268" i="1" a="1"/>
  <c r="D268" i="1" s="1"/>
  <c r="D269" i="1" a="1"/>
  <c r="D269" i="1" s="1"/>
  <c r="F269" i="1" s="1"/>
  <c r="D270" i="1" a="1"/>
  <c r="D270" i="1" s="1"/>
  <c r="F270" i="1" s="1"/>
  <c r="D271" i="1" a="1"/>
  <c r="D271" i="1" s="1"/>
  <c r="F271" i="1" s="1"/>
  <c r="D272" i="1" a="1"/>
  <c r="D272" i="1" s="1"/>
  <c r="F272" i="1" s="1"/>
  <c r="D273" i="1" a="1"/>
  <c r="D273" i="1"/>
  <c r="F273" i="1" s="1"/>
  <c r="D274" i="1" a="1"/>
  <c r="D274" i="1" s="1"/>
  <c r="D275" i="1" a="1"/>
  <c r="D275" i="1" s="1"/>
  <c r="D276" i="1" a="1"/>
  <c r="D276" i="1" s="1"/>
  <c r="D277" i="1" a="1"/>
  <c r="D277" i="1" s="1"/>
  <c r="F277" i="1" s="1"/>
  <c r="D278" i="1" a="1"/>
  <c r="D278" i="1" s="1"/>
  <c r="F278" i="1" s="1"/>
  <c r="D279" i="1" a="1"/>
  <c r="D279" i="1" s="1"/>
  <c r="F279" i="1" s="1"/>
  <c r="D280" i="1" a="1"/>
  <c r="D280" i="1" s="1"/>
  <c r="D281" i="1" a="1"/>
  <c r="D281" i="1" s="1"/>
  <c r="F281" i="1" s="1"/>
  <c r="D282" i="1" a="1"/>
  <c r="D282" i="1" s="1"/>
  <c r="F282" i="1" s="1"/>
  <c r="D283" i="1" a="1"/>
  <c r="D283" i="1" s="1"/>
  <c r="D284" i="1" a="1"/>
  <c r="D284" i="1" s="1"/>
  <c r="F284" i="1" s="1"/>
  <c r="D285" i="1" a="1"/>
  <c r="D285" i="1"/>
  <c r="D286" i="1" a="1"/>
  <c r="D286" i="1" s="1"/>
  <c r="D287" i="1" a="1"/>
  <c r="D287" i="1" s="1"/>
  <c r="F287" i="1" s="1"/>
  <c r="D288" i="1" a="1"/>
  <c r="D288" i="1" s="1"/>
  <c r="F288" i="1" s="1"/>
  <c r="D289" i="1" a="1"/>
  <c r="D289" i="1" s="1"/>
  <c r="D691" i="1" a="1"/>
  <c r="D691" i="1" s="1"/>
  <c r="F691" i="1" s="1"/>
  <c r="D692" i="1" a="1"/>
  <c r="D692" i="1" s="1"/>
  <c r="F692" i="1" s="1"/>
  <c r="D693" i="1" a="1"/>
  <c r="D693" i="1" s="1"/>
  <c r="F693" i="1" s="1"/>
  <c r="D694" i="1" a="1"/>
  <c r="D694" i="1" s="1"/>
  <c r="F694" i="1" s="1"/>
  <c r="D695" i="1" a="1"/>
  <c r="D695" i="1" s="1"/>
  <c r="F695" i="1" s="1"/>
  <c r="D696" i="1" a="1"/>
  <c r="D696" i="1" s="1"/>
  <c r="F696" i="1" s="1"/>
  <c r="D697" i="1" a="1"/>
  <c r="D697" i="1" s="1"/>
  <c r="F697" i="1" s="1"/>
  <c r="D698" i="1" a="1"/>
  <c r="D698" i="1" s="1"/>
  <c r="F698" i="1" s="1"/>
  <c r="D789" i="1" a="1"/>
  <c r="D789" i="1" s="1"/>
  <c r="D790" i="1" a="1"/>
  <c r="D790" i="1" s="1"/>
  <c r="D791" i="1" a="1"/>
  <c r="D791" i="1" s="1"/>
  <c r="D792" i="1" a="1"/>
  <c r="D792" i="1" s="1"/>
  <c r="D841" i="1" a="1"/>
  <c r="D841" i="1" s="1"/>
  <c r="F841" i="1" s="1"/>
  <c r="D842" i="1" a="1"/>
  <c r="D842" i="1" s="1"/>
  <c r="F842" i="1" s="1"/>
  <c r="D868" i="1" a="1"/>
  <c r="D868" i="1" s="1"/>
  <c r="F868" i="1" s="1"/>
  <c r="D894" i="1" a="1"/>
  <c r="D894" i="1" s="1"/>
  <c r="F894" i="1" s="1"/>
  <c r="D290" i="1" a="1"/>
  <c r="D290" i="1" s="1"/>
  <c r="F290" i="1" s="1"/>
  <c r="D291" i="1" a="1"/>
  <c r="D291" i="1" s="1"/>
  <c r="F291" i="1" s="1"/>
  <c r="D292" i="1" a="1"/>
  <c r="D292" i="1" s="1"/>
  <c r="D293" i="1" a="1"/>
  <c r="D293" i="1" s="1"/>
  <c r="F293" i="1" s="1"/>
  <c r="D294" i="1" a="1"/>
  <c r="D294" i="1" s="1"/>
  <c r="F294" i="1" s="1"/>
  <c r="D295" i="1" a="1"/>
  <c r="D295" i="1" s="1"/>
  <c r="F295" i="1" s="1"/>
  <c r="D296" i="1" a="1"/>
  <c r="D296" i="1"/>
  <c r="F296" i="1" s="1"/>
  <c r="D297" i="1" a="1"/>
  <c r="D297" i="1" s="1"/>
  <c r="F297" i="1" s="1"/>
  <c r="D298" i="1" a="1"/>
  <c r="D298" i="1" s="1"/>
  <c r="D299" i="1" a="1"/>
  <c r="D299" i="1" s="1"/>
  <c r="F299" i="1" s="1"/>
  <c r="D300" i="1" a="1"/>
  <c r="D300" i="1" s="1"/>
  <c r="D301" i="1" a="1"/>
  <c r="D301" i="1" s="1"/>
  <c r="F301" i="1" s="1"/>
  <c r="D302" i="1" a="1"/>
  <c r="D302" i="1" s="1"/>
  <c r="F302" i="1" s="1"/>
  <c r="D303" i="1" a="1"/>
  <c r="D303" i="1" s="1"/>
  <c r="F303" i="1" s="1"/>
  <c r="D304" i="1" a="1"/>
  <c r="D304" i="1" s="1"/>
  <c r="F304" i="1" s="1"/>
  <c r="D305" i="1" a="1"/>
  <c r="D305" i="1" s="1"/>
  <c r="F305" i="1" s="1"/>
  <c r="D306" i="1" a="1"/>
  <c r="D306" i="1" s="1"/>
  <c r="F306" i="1" s="1"/>
  <c r="D307" i="1" a="1"/>
  <c r="D307" i="1" s="1"/>
  <c r="F307" i="1" s="1"/>
  <c r="D308" i="1" a="1"/>
  <c r="D308" i="1" s="1"/>
  <c r="F308" i="1" s="1"/>
  <c r="D309" i="1" a="1"/>
  <c r="D309" i="1" s="1"/>
  <c r="D310" i="1" a="1"/>
  <c r="D310" i="1" s="1"/>
  <c r="F310" i="1" s="1"/>
  <c r="D311" i="1" a="1"/>
  <c r="D311" i="1" s="1"/>
  <c r="F311" i="1" s="1"/>
  <c r="D312" i="1" a="1"/>
  <c r="D312" i="1" s="1"/>
  <c r="F312" i="1" s="1"/>
  <c r="D313" i="1" a="1"/>
  <c r="D313" i="1" s="1"/>
  <c r="F313" i="1" s="1"/>
  <c r="D314" i="1" a="1"/>
  <c r="D314" i="1" s="1"/>
  <c r="F314" i="1" s="1"/>
  <c r="D315" i="1" a="1"/>
  <c r="D315" i="1" s="1"/>
  <c r="F315" i="1" s="1"/>
  <c r="D316" i="1" a="1"/>
  <c r="D316" i="1" s="1"/>
  <c r="F316" i="1" s="1"/>
  <c r="D317" i="1" a="1"/>
  <c r="D317" i="1"/>
  <c r="D318" i="1" a="1"/>
  <c r="D318" i="1" s="1"/>
  <c r="F318" i="1" s="1"/>
  <c r="D319" i="1" a="1"/>
  <c r="D319" i="1" s="1"/>
  <c r="F319" i="1" s="1"/>
  <c r="D320" i="1" a="1"/>
  <c r="D320" i="1"/>
  <c r="F320" i="1" s="1"/>
  <c r="D321" i="1" a="1"/>
  <c r="D321" i="1" s="1"/>
  <c r="F321" i="1" s="1"/>
  <c r="D322" i="1" a="1"/>
  <c r="D322" i="1" s="1"/>
  <c r="F322" i="1" s="1"/>
  <c r="D323" i="1" a="1"/>
  <c r="D323" i="1" s="1"/>
  <c r="F323" i="1" s="1"/>
  <c r="D324" i="1" a="1"/>
  <c r="D324" i="1" s="1"/>
  <c r="F324" i="1" s="1"/>
  <c r="D325" i="1" a="1"/>
  <c r="D325" i="1" s="1"/>
  <c r="F325" i="1" s="1"/>
  <c r="D699" i="1" a="1"/>
  <c r="D699" i="1" s="1"/>
  <c r="F699" i="1" s="1"/>
  <c r="D700" i="1" a="1"/>
  <c r="D700" i="1" s="1"/>
  <c r="D701" i="1" a="1"/>
  <c r="D701" i="1" s="1"/>
  <c r="F701" i="1" s="1"/>
  <c r="D702" i="1" a="1"/>
  <c r="D702" i="1" s="1"/>
  <c r="F702" i="1" s="1"/>
  <c r="D703" i="1" a="1"/>
  <c r="D703" i="1" s="1"/>
  <c r="D704" i="1" a="1"/>
  <c r="D704" i="1" s="1"/>
  <c r="D705" i="1" a="1"/>
  <c r="D705" i="1" s="1"/>
  <c r="D706" i="1" a="1"/>
  <c r="D706" i="1" s="1"/>
  <c r="D793" i="1" a="1"/>
  <c r="D793" i="1" s="1"/>
  <c r="F793" i="1" s="1"/>
  <c r="D794" i="1" a="1"/>
  <c r="D794" i="1" s="1"/>
  <c r="F794" i="1" s="1"/>
  <c r="D795" i="1" a="1"/>
  <c r="D795" i="1" s="1"/>
  <c r="F795" i="1" s="1"/>
  <c r="D796" i="1" a="1"/>
  <c r="D796" i="1" s="1"/>
  <c r="F796" i="1" s="1"/>
  <c r="D843" i="1" a="1"/>
  <c r="D843" i="1" s="1"/>
  <c r="F843" i="1" s="1"/>
  <c r="D844" i="1" a="1"/>
  <c r="D844" i="1" s="1"/>
  <c r="F844" i="1" s="1"/>
  <c r="D869" i="1" a="1"/>
  <c r="D869" i="1" s="1"/>
  <c r="F869" i="1" s="1"/>
  <c r="D895" i="1" a="1"/>
  <c r="D895" i="1" s="1"/>
  <c r="F895" i="1" s="1"/>
  <c r="D326" i="1" a="1"/>
  <c r="D326" i="1" s="1"/>
  <c r="F326" i="1" s="1"/>
  <c r="D327" i="1" a="1"/>
  <c r="D327" i="1" s="1"/>
  <c r="F327" i="1" s="1"/>
  <c r="D328" i="1" a="1"/>
  <c r="D328" i="1"/>
  <c r="F328" i="1" s="1"/>
  <c r="D329" i="1" a="1"/>
  <c r="D329" i="1"/>
  <c r="F329" i="1" s="1"/>
  <c r="D330" i="1" a="1"/>
  <c r="D330" i="1" s="1"/>
  <c r="F330" i="1" s="1"/>
  <c r="D331" i="1" a="1"/>
  <c r="D331" i="1" s="1"/>
  <c r="F331" i="1" s="1"/>
  <c r="D332" i="1" a="1"/>
  <c r="D332" i="1" s="1"/>
  <c r="F332" i="1" s="1"/>
  <c r="D333" i="1" a="1"/>
  <c r="D333" i="1" s="1"/>
  <c r="F333" i="1" s="1"/>
  <c r="D334" i="1" a="1"/>
  <c r="D334" i="1" s="1"/>
  <c r="F334" i="1" s="1"/>
  <c r="D335" i="1" a="1"/>
  <c r="D335" i="1" s="1"/>
  <c r="F335" i="1" s="1"/>
  <c r="D336" i="1" a="1"/>
  <c r="D336" i="1" s="1"/>
  <c r="F336" i="1" s="1"/>
  <c r="D337" i="1" a="1"/>
  <c r="D337" i="1" s="1"/>
  <c r="F337" i="1" s="1"/>
  <c r="D338" i="1" a="1"/>
  <c r="D338" i="1"/>
  <c r="D339" i="1" a="1"/>
  <c r="D339" i="1" s="1"/>
  <c r="D340" i="1" a="1"/>
  <c r="D340" i="1" s="1"/>
  <c r="F340" i="1" s="1"/>
  <c r="D341" i="1" a="1"/>
  <c r="D341" i="1" s="1"/>
  <c r="F341" i="1" s="1"/>
  <c r="D342" i="1" a="1"/>
  <c r="D342" i="1" s="1"/>
  <c r="F342" i="1" s="1"/>
  <c r="D343" i="1" a="1"/>
  <c r="D343" i="1" s="1"/>
  <c r="F343" i="1" s="1"/>
  <c r="D344" i="1" a="1"/>
  <c r="D344" i="1" s="1"/>
  <c r="F344" i="1" s="1"/>
  <c r="D345" i="1" a="1"/>
  <c r="D345" i="1" s="1"/>
  <c r="F345" i="1" s="1"/>
  <c r="D346" i="1" a="1"/>
  <c r="D346" i="1" s="1"/>
  <c r="F346" i="1" s="1"/>
  <c r="D347" i="1" a="1"/>
  <c r="D347" i="1"/>
  <c r="F347" i="1" s="1"/>
  <c r="D348" i="1" a="1"/>
  <c r="D348" i="1"/>
  <c r="F348" i="1" s="1"/>
  <c r="D349" i="1" a="1"/>
  <c r="D349" i="1" s="1"/>
  <c r="F349" i="1" s="1"/>
  <c r="D350" i="1" a="1"/>
  <c r="D350" i="1" s="1"/>
  <c r="F350" i="1" s="1"/>
  <c r="D351" i="1" a="1"/>
  <c r="D351" i="1" s="1"/>
  <c r="F351" i="1" s="1"/>
  <c r="D352" i="1" a="1"/>
  <c r="D352" i="1" s="1"/>
  <c r="F352" i="1" s="1"/>
  <c r="D353" i="1" a="1"/>
  <c r="D353" i="1" s="1"/>
  <c r="F353" i="1" s="1"/>
  <c r="D354" i="1" a="1"/>
  <c r="D354" i="1" s="1"/>
  <c r="F354" i="1" s="1"/>
  <c r="D355" i="1" a="1"/>
  <c r="D355" i="1" s="1"/>
  <c r="F355" i="1" s="1"/>
  <c r="D356" i="1" a="1"/>
  <c r="D356" i="1" s="1"/>
  <c r="F356" i="1" s="1"/>
  <c r="D357" i="1" a="1"/>
  <c r="D357" i="1" s="1"/>
  <c r="F357" i="1" s="1"/>
  <c r="D358" i="1" a="1"/>
  <c r="D358" i="1"/>
  <c r="F358" i="1" s="1"/>
  <c r="D359" i="1" a="1"/>
  <c r="D359" i="1" s="1"/>
  <c r="F359" i="1" s="1"/>
  <c r="D360" i="1" a="1"/>
  <c r="D360" i="1" s="1"/>
  <c r="F360" i="1" s="1"/>
  <c r="D361" i="1" a="1"/>
  <c r="D361" i="1" s="1"/>
  <c r="F361" i="1" s="1"/>
  <c r="D362" i="1" a="1"/>
  <c r="D362" i="1"/>
  <c r="D363" i="1" a="1"/>
  <c r="D363" i="1" s="1"/>
  <c r="F363" i="1" s="1"/>
  <c r="D364" i="1" a="1"/>
  <c r="D364" i="1" s="1"/>
  <c r="F364" i="1" s="1"/>
  <c r="D365" i="1" a="1"/>
  <c r="D365" i="1" s="1"/>
  <c r="F365" i="1" s="1"/>
  <c r="D366" i="1" a="1"/>
  <c r="D366" i="1" s="1"/>
  <c r="F366" i="1" s="1"/>
  <c r="D367" i="1" a="1"/>
  <c r="D367" i="1"/>
  <c r="D368" i="1" a="1"/>
  <c r="D368" i="1" s="1"/>
  <c r="F368" i="1" s="1"/>
  <c r="D369" i="1" a="1"/>
  <c r="D369" i="1" s="1"/>
  <c r="F369" i="1" s="1"/>
  <c r="D370" i="1" a="1"/>
  <c r="D370" i="1" s="1"/>
  <c r="F370" i="1" s="1"/>
  <c r="D371" i="1" a="1"/>
  <c r="D371" i="1"/>
  <c r="F371" i="1" s="1"/>
  <c r="D372" i="1" a="1"/>
  <c r="D372" i="1" s="1"/>
  <c r="F372" i="1" s="1"/>
  <c r="D373" i="1" a="1"/>
  <c r="D373" i="1" s="1"/>
  <c r="F373" i="1" s="1"/>
  <c r="D707" i="1" a="1"/>
  <c r="D707" i="1" s="1"/>
  <c r="F707" i="1" s="1"/>
  <c r="D708" i="1" a="1"/>
  <c r="D708" i="1" s="1"/>
  <c r="D709" i="1" a="1"/>
  <c r="D709" i="1" s="1"/>
  <c r="F709" i="1" s="1"/>
  <c r="D710" i="1" a="1"/>
  <c r="D710" i="1" s="1"/>
  <c r="F710" i="1" s="1"/>
  <c r="D711" i="1" a="1"/>
  <c r="D711" i="1" s="1"/>
  <c r="F711" i="1" s="1"/>
  <c r="D712" i="1" a="1"/>
  <c r="D712" i="1" s="1"/>
  <c r="F712" i="1" s="1"/>
  <c r="D713" i="1" a="1"/>
  <c r="D713" i="1" s="1"/>
  <c r="F713" i="1" s="1"/>
  <c r="D714" i="1" a="1"/>
  <c r="D714" i="1" s="1"/>
  <c r="F714" i="1" s="1"/>
  <c r="D797" i="1" a="1"/>
  <c r="D797" i="1"/>
  <c r="F797" i="1" s="1"/>
  <c r="D798" i="1" a="1"/>
  <c r="D798" i="1"/>
  <c r="F798" i="1" s="1"/>
  <c r="D799" i="1" a="1"/>
  <c r="D799" i="1"/>
  <c r="F799" i="1" s="1"/>
  <c r="D800" i="1" a="1"/>
  <c r="D800" i="1" s="1"/>
  <c r="F800" i="1" s="1"/>
  <c r="D845" i="1" a="1"/>
  <c r="D845" i="1" s="1"/>
  <c r="F845" i="1" s="1"/>
  <c r="D846" i="1" a="1"/>
  <c r="D846" i="1" s="1"/>
  <c r="F846" i="1" s="1"/>
  <c r="D870" i="1" a="1"/>
  <c r="D870" i="1" s="1"/>
  <c r="F870" i="1" s="1"/>
  <c r="D896" i="1" a="1"/>
  <c r="D896" i="1"/>
  <c r="F896" i="1" s="1"/>
  <c r="D374" i="1" a="1"/>
  <c r="D374" i="1" s="1"/>
  <c r="F374" i="1" s="1"/>
  <c r="D375" i="1" a="1"/>
  <c r="D375" i="1" s="1"/>
  <c r="F375" i="1" s="1"/>
  <c r="D376" i="1" a="1"/>
  <c r="D376" i="1" s="1"/>
  <c r="F376" i="1" s="1"/>
  <c r="D377" i="1" a="1"/>
  <c r="D377" i="1" s="1"/>
  <c r="D378" i="1" a="1"/>
  <c r="D378" i="1" s="1"/>
  <c r="F378" i="1" s="1"/>
  <c r="D379" i="1" a="1"/>
  <c r="D379" i="1" s="1"/>
  <c r="F379" i="1" s="1"/>
  <c r="D380" i="1" a="1"/>
  <c r="D380" i="1" s="1"/>
  <c r="F380" i="1" s="1"/>
  <c r="D381" i="1" a="1"/>
  <c r="D381" i="1" s="1"/>
  <c r="F381" i="1" s="1"/>
  <c r="D382" i="1" a="1"/>
  <c r="D382" i="1" s="1"/>
  <c r="F382" i="1" s="1"/>
  <c r="D383" i="1" a="1"/>
  <c r="D383" i="1" s="1"/>
  <c r="F383" i="1" s="1"/>
  <c r="D384" i="1" a="1"/>
  <c r="D384" i="1"/>
  <c r="D385" i="1" a="1"/>
  <c r="D385" i="1"/>
  <c r="F385" i="1" s="1"/>
  <c r="D386" i="1" a="1"/>
  <c r="D386" i="1"/>
  <c r="D387" i="1" a="1"/>
  <c r="D387" i="1" s="1"/>
  <c r="F387" i="1" s="1"/>
  <c r="D388" i="1" a="1"/>
  <c r="D388" i="1" s="1"/>
  <c r="F388" i="1" s="1"/>
  <c r="D389" i="1" a="1"/>
  <c r="D389" i="1" s="1"/>
  <c r="F389" i="1" s="1"/>
  <c r="D390" i="1" a="1"/>
  <c r="D390" i="1"/>
  <c r="D391" i="1" a="1"/>
  <c r="D391" i="1" s="1"/>
  <c r="F391" i="1" s="1"/>
  <c r="D392" i="1" a="1"/>
  <c r="D392" i="1" s="1"/>
  <c r="F392" i="1" s="1"/>
  <c r="D393" i="1" a="1"/>
  <c r="D393" i="1" s="1"/>
  <c r="F393" i="1" s="1"/>
  <c r="D394" i="1" a="1"/>
  <c r="D394" i="1"/>
  <c r="F394" i="1" s="1"/>
  <c r="D395" i="1" a="1"/>
  <c r="D395" i="1" s="1"/>
  <c r="D396" i="1" a="1"/>
  <c r="D396" i="1" s="1"/>
  <c r="F396" i="1" s="1"/>
  <c r="D397" i="1" a="1"/>
  <c r="D397" i="1" s="1"/>
  <c r="F397" i="1" s="1"/>
  <c r="D398" i="1" a="1"/>
  <c r="D398" i="1" s="1"/>
  <c r="F398" i="1" s="1"/>
  <c r="D399" i="1" a="1"/>
  <c r="D399" i="1" s="1"/>
  <c r="F399" i="1" s="1"/>
  <c r="D400" i="1" a="1"/>
  <c r="D400" i="1" s="1"/>
  <c r="F400" i="1" s="1"/>
  <c r="D401" i="1" a="1"/>
  <c r="D401" i="1" s="1"/>
  <c r="F401" i="1" s="1"/>
  <c r="D402" i="1" a="1"/>
  <c r="D402" i="1" s="1"/>
  <c r="F402" i="1" s="1"/>
  <c r="D403" i="1" a="1"/>
  <c r="D403" i="1"/>
  <c r="F403" i="1" s="1"/>
  <c r="D404" i="1" a="1"/>
  <c r="D404" i="1"/>
  <c r="F404" i="1" s="1"/>
  <c r="D405" i="1" a="1"/>
  <c r="D405" i="1" s="1"/>
  <c r="F405" i="1" s="1"/>
  <c r="D406" i="1" a="1"/>
  <c r="D406" i="1" s="1"/>
  <c r="F406" i="1" s="1"/>
  <c r="D407" i="1" a="1"/>
  <c r="D407" i="1" s="1"/>
  <c r="F407" i="1" s="1"/>
  <c r="D408" i="1" a="1"/>
  <c r="D408" i="1" s="1"/>
  <c r="F408" i="1" s="1"/>
  <c r="D409" i="1" a="1"/>
  <c r="D409" i="1" s="1"/>
  <c r="F409" i="1" s="1"/>
  <c r="D410" i="1" a="1"/>
  <c r="D410" i="1"/>
  <c r="F410" i="1" s="1"/>
  <c r="D411" i="1" a="1"/>
  <c r="D411" i="1" s="1"/>
  <c r="F411" i="1" s="1"/>
  <c r="D412" i="1" a="1"/>
  <c r="D412" i="1"/>
  <c r="F412" i="1" s="1"/>
  <c r="D413" i="1" a="1"/>
  <c r="D413" i="1" s="1"/>
  <c r="F413" i="1" s="1"/>
  <c r="D414" i="1" a="1"/>
  <c r="D414" i="1" s="1"/>
  <c r="F414" i="1" s="1"/>
  <c r="D415" i="1" a="1"/>
  <c r="D415" i="1" s="1"/>
  <c r="F415" i="1" s="1"/>
  <c r="D416" i="1" a="1"/>
  <c r="D416" i="1" s="1"/>
  <c r="F416" i="1" s="1"/>
  <c r="D417" i="1" a="1"/>
  <c r="D417" i="1" s="1"/>
  <c r="F417" i="1" s="1"/>
  <c r="D418" i="1" a="1"/>
  <c r="D418" i="1" s="1"/>
  <c r="F418" i="1" s="1"/>
  <c r="D419" i="1" a="1"/>
  <c r="D419" i="1" s="1"/>
  <c r="D420" i="1" a="1"/>
  <c r="D420" i="1" s="1"/>
  <c r="F420" i="1" s="1"/>
  <c r="D421" i="1" a="1"/>
  <c r="D421" i="1" s="1"/>
  <c r="F421" i="1" s="1"/>
  <c r="D715" i="1" a="1"/>
  <c r="D715" i="1" s="1"/>
  <c r="F715" i="1" s="1"/>
  <c r="D716" i="1" a="1"/>
  <c r="D716" i="1"/>
  <c r="F716" i="1" s="1"/>
  <c r="D717" i="1" a="1"/>
  <c r="D717" i="1" s="1"/>
  <c r="F717" i="1" s="1"/>
  <c r="D718" i="1" a="1"/>
  <c r="D718" i="1" s="1"/>
  <c r="F718" i="1" s="1"/>
  <c r="D719" i="1" a="1"/>
  <c r="D719" i="1" s="1"/>
  <c r="F719" i="1" s="1"/>
  <c r="D720" i="1" a="1"/>
  <c r="D720" i="1" s="1"/>
  <c r="F720" i="1" s="1"/>
  <c r="D721" i="1" a="1"/>
  <c r="D721" i="1" s="1"/>
  <c r="F721" i="1" s="1"/>
  <c r="D722" i="1" a="1"/>
  <c r="D722" i="1"/>
  <c r="F722" i="1" s="1"/>
  <c r="D801" i="1" a="1"/>
  <c r="D801" i="1" s="1"/>
  <c r="F801" i="1" s="1"/>
  <c r="D802" i="1" a="1"/>
  <c r="D802" i="1" s="1"/>
  <c r="D803" i="1" a="1"/>
  <c r="D803" i="1"/>
  <c r="F803" i="1" s="1"/>
  <c r="D804" i="1" a="1"/>
  <c r="D804" i="1" s="1"/>
  <c r="F804" i="1" s="1"/>
  <c r="D847" i="1" a="1"/>
  <c r="D847" i="1" s="1"/>
  <c r="F847" i="1" s="1"/>
  <c r="D848" i="1" a="1"/>
  <c r="D848" i="1" s="1"/>
  <c r="F848" i="1" s="1"/>
  <c r="D871" i="1" a="1"/>
  <c r="D871" i="1" s="1"/>
  <c r="F871" i="1" s="1"/>
  <c r="D897" i="1" a="1"/>
  <c r="D897" i="1" s="1"/>
  <c r="F897" i="1" s="1"/>
  <c r="D422" i="1" a="1"/>
  <c r="D422" i="1" s="1"/>
  <c r="F422" i="1" s="1"/>
  <c r="D423" i="1" a="1"/>
  <c r="D423" i="1" s="1"/>
  <c r="F423" i="1" s="1"/>
  <c r="D424" i="1" a="1"/>
  <c r="D424" i="1" s="1"/>
  <c r="F424" i="1" s="1"/>
  <c r="D425" i="1" a="1"/>
  <c r="D425" i="1" s="1"/>
  <c r="F425" i="1" s="1"/>
  <c r="D426" i="1" a="1"/>
  <c r="D426" i="1"/>
  <c r="F426" i="1" s="1"/>
  <c r="D427" i="1" a="1"/>
  <c r="D427" i="1" s="1"/>
  <c r="F427" i="1" s="1"/>
  <c r="D428" i="1" a="1"/>
  <c r="D428" i="1" s="1"/>
  <c r="F428" i="1" s="1"/>
  <c r="D429" i="1" a="1"/>
  <c r="D429" i="1" s="1"/>
  <c r="F429" i="1" s="1"/>
  <c r="D430" i="1" a="1"/>
  <c r="D430" i="1" s="1"/>
  <c r="F430" i="1" s="1"/>
  <c r="D431" i="1" a="1"/>
  <c r="D431" i="1" s="1"/>
  <c r="F431" i="1" s="1"/>
  <c r="D432" i="1" a="1"/>
  <c r="D432" i="1" s="1"/>
  <c r="F432" i="1" s="1"/>
  <c r="D433" i="1" a="1"/>
  <c r="D433" i="1" s="1"/>
  <c r="F433" i="1" s="1"/>
  <c r="D434" i="1" a="1"/>
  <c r="D434" i="1" s="1"/>
  <c r="F434" i="1" s="1"/>
  <c r="D435" i="1" a="1"/>
  <c r="D435" i="1"/>
  <c r="F435" i="1" s="1"/>
  <c r="D436" i="1" a="1"/>
  <c r="D436" i="1" s="1"/>
  <c r="F436" i="1" s="1"/>
  <c r="D437" i="1" a="1"/>
  <c r="D437" i="1" s="1"/>
  <c r="F437" i="1" s="1"/>
  <c r="D438" i="1" a="1"/>
  <c r="D438" i="1" s="1"/>
  <c r="F438" i="1" s="1"/>
  <c r="D439" i="1" a="1"/>
  <c r="D439" i="1" s="1"/>
  <c r="F439" i="1" s="1"/>
  <c r="D440" i="1" a="1"/>
  <c r="D440" i="1" s="1"/>
  <c r="F440" i="1" s="1"/>
  <c r="D441" i="1" a="1"/>
  <c r="D441" i="1" s="1"/>
  <c r="F441" i="1" s="1"/>
  <c r="D442" i="1" a="1"/>
  <c r="D442" i="1"/>
  <c r="F442" i="1" s="1"/>
  <c r="D443" i="1" a="1"/>
  <c r="D443" i="1" s="1"/>
  <c r="F443" i="1" s="1"/>
  <c r="D444" i="1" a="1"/>
  <c r="D444" i="1" s="1"/>
  <c r="F444" i="1" s="1"/>
  <c r="D445" i="1" a="1"/>
  <c r="D445" i="1" s="1"/>
  <c r="D446" i="1" a="1"/>
  <c r="D446" i="1" s="1"/>
  <c r="F446" i="1" s="1"/>
  <c r="D447" i="1" a="1"/>
  <c r="D447" i="1" s="1"/>
  <c r="F447" i="1" s="1"/>
  <c r="D448" i="1" a="1"/>
  <c r="D448" i="1" s="1"/>
  <c r="F448" i="1" s="1"/>
  <c r="D449" i="1" a="1"/>
  <c r="D449" i="1" s="1"/>
  <c r="F449" i="1" s="1"/>
  <c r="D450" i="1" a="1"/>
  <c r="D450" i="1" s="1"/>
  <c r="F450" i="1" s="1"/>
  <c r="D451" i="1" a="1"/>
  <c r="D451" i="1" s="1"/>
  <c r="F451" i="1" s="1"/>
  <c r="D452" i="1" a="1"/>
  <c r="D452" i="1" s="1"/>
  <c r="F452" i="1" s="1"/>
  <c r="D453" i="1" a="1"/>
  <c r="D453" i="1" s="1"/>
  <c r="F453" i="1" s="1"/>
  <c r="D454" i="1" a="1"/>
  <c r="D454" i="1" s="1"/>
  <c r="F454" i="1" s="1"/>
  <c r="D455" i="1" a="1"/>
  <c r="D455" i="1"/>
  <c r="F455" i="1" s="1"/>
  <c r="D456" i="1" a="1"/>
  <c r="D456" i="1" s="1"/>
  <c r="F456" i="1" s="1"/>
  <c r="D457" i="1" a="1"/>
  <c r="D457" i="1" s="1"/>
  <c r="F457" i="1" s="1"/>
  <c r="D458" i="1" a="1"/>
  <c r="D458" i="1" s="1"/>
  <c r="F458" i="1" s="1"/>
  <c r="D459" i="1" a="1"/>
  <c r="D459" i="1"/>
  <c r="F459" i="1" s="1"/>
  <c r="D460" i="1" a="1"/>
  <c r="D460" i="1" s="1"/>
  <c r="F460" i="1" s="1"/>
  <c r="D461" i="1" a="1"/>
  <c r="D461" i="1" s="1"/>
  <c r="F461" i="1" s="1"/>
  <c r="D462" i="1" a="1"/>
  <c r="D462" i="1" s="1"/>
  <c r="F462" i="1" s="1"/>
  <c r="D463" i="1" a="1"/>
  <c r="D463" i="1" s="1"/>
  <c r="F463" i="1" s="1"/>
  <c r="D464" i="1" a="1"/>
  <c r="D464" i="1" s="1"/>
  <c r="F464" i="1" s="1"/>
  <c r="D465" i="1" a="1"/>
  <c r="D465" i="1" s="1"/>
  <c r="F465" i="1" s="1"/>
  <c r="D466" i="1" a="1"/>
  <c r="D466" i="1"/>
  <c r="F466" i="1" s="1"/>
  <c r="D467" i="1" a="1"/>
  <c r="D467" i="1" s="1"/>
  <c r="F467" i="1" s="1"/>
  <c r="D468" i="1" a="1"/>
  <c r="D468" i="1" s="1"/>
  <c r="F468" i="1" s="1"/>
  <c r="D469" i="1" a="1"/>
  <c r="D469" i="1" s="1"/>
  <c r="F469" i="1" s="1"/>
  <c r="D723" i="1" a="1"/>
  <c r="D723" i="1"/>
  <c r="F723" i="1" s="1"/>
  <c r="D724" i="1" a="1"/>
  <c r="D724" i="1" s="1"/>
  <c r="F724" i="1" s="1"/>
  <c r="D725" i="1" a="1"/>
  <c r="D725" i="1" s="1"/>
  <c r="F725" i="1" s="1"/>
  <c r="D726" i="1" a="1"/>
  <c r="D726" i="1"/>
  <c r="F726" i="1" s="1"/>
  <c r="D727" i="1" a="1"/>
  <c r="D727" i="1" s="1"/>
  <c r="F727" i="1" s="1"/>
  <c r="D728" i="1" a="1"/>
  <c r="D728" i="1" s="1"/>
  <c r="F728" i="1" s="1"/>
  <c r="D729" i="1" a="1"/>
  <c r="D729" i="1" s="1"/>
  <c r="F729" i="1" s="1"/>
  <c r="D730" i="1" a="1"/>
  <c r="D730" i="1" s="1"/>
  <c r="F730" i="1" s="1"/>
  <c r="D805" i="1" a="1"/>
  <c r="D805" i="1" s="1"/>
  <c r="F805" i="1" s="1"/>
  <c r="D806" i="1" a="1"/>
  <c r="D806" i="1" s="1"/>
  <c r="F806" i="1" s="1"/>
  <c r="D807" i="1" a="1"/>
  <c r="D807" i="1" s="1"/>
  <c r="F807" i="1" s="1"/>
  <c r="D808" i="1" a="1"/>
  <c r="D808" i="1" s="1"/>
  <c r="F808" i="1" s="1"/>
  <c r="D849" i="1" a="1"/>
  <c r="D849" i="1" s="1"/>
  <c r="F849" i="1" s="1"/>
  <c r="D850" i="1" a="1"/>
  <c r="D850" i="1"/>
  <c r="F850" i="1" s="1"/>
  <c r="D872" i="1" a="1"/>
  <c r="D872" i="1" s="1"/>
  <c r="F872" i="1" s="1"/>
  <c r="D898" i="1" a="1"/>
  <c r="D898" i="1" s="1"/>
  <c r="F898" i="1" s="1"/>
  <c r="D470" i="1" a="1"/>
  <c r="D470" i="1"/>
  <c r="F470" i="1" s="1"/>
  <c r="D471" i="1" a="1"/>
  <c r="D471" i="1" s="1"/>
  <c r="D472" i="1" a="1"/>
  <c r="D472" i="1" s="1"/>
  <c r="F472" i="1" s="1"/>
  <c r="D473" i="1" a="1"/>
  <c r="D473" i="1" s="1"/>
  <c r="F473" i="1" s="1"/>
  <c r="D474" i="1" a="1"/>
  <c r="D474" i="1" s="1"/>
  <c r="F474" i="1" s="1"/>
  <c r="D475" i="1" a="1"/>
  <c r="D475" i="1" s="1"/>
  <c r="F475" i="1" s="1"/>
  <c r="D476" i="1" a="1"/>
  <c r="D476" i="1" s="1"/>
  <c r="F476" i="1" s="1"/>
  <c r="D477" i="1" a="1"/>
  <c r="D477" i="1" s="1"/>
  <c r="F477" i="1" s="1"/>
  <c r="D478" i="1" a="1"/>
  <c r="D478" i="1" s="1"/>
  <c r="F478" i="1" s="1"/>
  <c r="D479" i="1" a="1"/>
  <c r="D479" i="1" s="1"/>
  <c r="F479" i="1" s="1"/>
  <c r="D480" i="1" a="1"/>
  <c r="D480" i="1" s="1"/>
  <c r="F480" i="1" s="1"/>
  <c r="D481" i="1" a="1"/>
  <c r="D481" i="1" s="1"/>
  <c r="F481" i="1" s="1"/>
  <c r="D482" i="1" a="1"/>
  <c r="D482" i="1"/>
  <c r="D483" i="1" a="1"/>
  <c r="D483" i="1" s="1"/>
  <c r="D484" i="1" a="1"/>
  <c r="D484" i="1" s="1"/>
  <c r="F484" i="1" s="1"/>
  <c r="D485" i="1" a="1"/>
  <c r="D485" i="1" s="1"/>
  <c r="F485" i="1" s="1"/>
  <c r="D486" i="1" a="1"/>
  <c r="D486" i="1" s="1"/>
  <c r="F486" i="1" s="1"/>
  <c r="D487" i="1" a="1"/>
  <c r="D487" i="1" s="1"/>
  <c r="F487" i="1" s="1"/>
  <c r="D488" i="1" a="1"/>
  <c r="D488" i="1" s="1"/>
  <c r="F488" i="1" s="1"/>
  <c r="D489" i="1" a="1"/>
  <c r="D489" i="1" s="1"/>
  <c r="F489" i="1" s="1"/>
  <c r="D490" i="1" a="1"/>
  <c r="D490" i="1"/>
  <c r="F490" i="1" s="1"/>
  <c r="D491" i="1" a="1"/>
  <c r="D491" i="1" s="1"/>
  <c r="F491" i="1" s="1"/>
  <c r="D492" i="1" a="1"/>
  <c r="D492" i="1" s="1"/>
  <c r="F492" i="1" s="1"/>
  <c r="D493" i="1" a="1"/>
  <c r="D493" i="1"/>
  <c r="F493" i="1" s="1"/>
  <c r="D494" i="1" a="1"/>
  <c r="D494" i="1" s="1"/>
  <c r="F494" i="1" s="1"/>
  <c r="D495" i="1" a="1"/>
  <c r="D495" i="1" s="1"/>
  <c r="F495" i="1" s="1"/>
  <c r="D496" i="1" a="1"/>
  <c r="D496" i="1" s="1"/>
  <c r="F496" i="1" s="1"/>
  <c r="D497" i="1" a="1"/>
  <c r="D497" i="1" s="1"/>
  <c r="F497" i="1" s="1"/>
  <c r="D498" i="1" a="1"/>
  <c r="D498" i="1" s="1"/>
  <c r="F498" i="1" s="1"/>
  <c r="D499" i="1" a="1"/>
  <c r="D499" i="1" s="1"/>
  <c r="F499" i="1" s="1"/>
  <c r="D500" i="1" a="1"/>
  <c r="D500" i="1" s="1"/>
  <c r="F500" i="1" s="1"/>
  <c r="D501" i="1" a="1"/>
  <c r="D501" i="1" s="1"/>
  <c r="F501" i="1" s="1"/>
  <c r="D502" i="1" a="1"/>
  <c r="D502" i="1"/>
  <c r="D503" i="1" a="1"/>
  <c r="D503" i="1"/>
  <c r="F503" i="1" s="1"/>
  <c r="D504" i="1" a="1"/>
  <c r="D504" i="1" s="1"/>
  <c r="F504" i="1" s="1"/>
  <c r="D505" i="1" a="1"/>
  <c r="D505" i="1" s="1"/>
  <c r="F505" i="1" s="1"/>
  <c r="D506" i="1" a="1"/>
  <c r="D506" i="1"/>
  <c r="F506" i="1" s="1"/>
  <c r="D507" i="1" a="1"/>
  <c r="D507" i="1" s="1"/>
  <c r="F507" i="1" s="1"/>
  <c r="D508" i="1" a="1"/>
  <c r="D508" i="1" s="1"/>
  <c r="F508" i="1" s="1"/>
  <c r="D509" i="1" a="1"/>
  <c r="D509" i="1"/>
  <c r="D510" i="1" a="1"/>
  <c r="D510" i="1" s="1"/>
  <c r="F510" i="1" s="1"/>
  <c r="D511" i="1" a="1"/>
  <c r="D511" i="1" s="1"/>
  <c r="F511" i="1" s="1"/>
  <c r="D512" i="1" a="1"/>
  <c r="D512" i="1" s="1"/>
  <c r="F512" i="1" s="1"/>
  <c r="D513" i="1" a="1"/>
  <c r="D513" i="1" s="1"/>
  <c r="F513" i="1" s="1"/>
  <c r="D514" i="1" a="1"/>
  <c r="D514" i="1" s="1"/>
  <c r="F514" i="1" s="1"/>
  <c r="D515" i="1" a="1"/>
  <c r="D515" i="1"/>
  <c r="F515" i="1" s="1"/>
  <c r="D516" i="1" a="1"/>
  <c r="D516" i="1"/>
  <c r="F516" i="1" s="1"/>
  <c r="D517" i="1" a="1"/>
  <c r="D517" i="1" s="1"/>
  <c r="F517" i="1" s="1"/>
  <c r="D731" i="1" a="1"/>
  <c r="D731" i="1" s="1"/>
  <c r="F731" i="1" s="1"/>
  <c r="D732" i="1" a="1"/>
  <c r="D732" i="1" s="1"/>
  <c r="D733" i="1" a="1"/>
  <c r="D733" i="1" s="1"/>
  <c r="F733" i="1" s="1"/>
  <c r="D734" i="1" a="1"/>
  <c r="D734" i="1" s="1"/>
  <c r="F734" i="1" s="1"/>
  <c r="D735" i="1" a="1"/>
  <c r="D735" i="1" s="1"/>
  <c r="F735" i="1" s="1"/>
  <c r="D736" i="1" a="1"/>
  <c r="D736" i="1" s="1"/>
  <c r="F736" i="1" s="1"/>
  <c r="D737" i="1" a="1"/>
  <c r="D737" i="1" s="1"/>
  <c r="F737" i="1" s="1"/>
  <c r="D738" i="1" a="1"/>
  <c r="D738" i="1" s="1"/>
  <c r="F738" i="1" s="1"/>
  <c r="D809" i="1" a="1"/>
  <c r="D809" i="1" s="1"/>
  <c r="F809" i="1" s="1"/>
  <c r="D810" i="1" a="1"/>
  <c r="D810" i="1" s="1"/>
  <c r="F810" i="1" s="1"/>
  <c r="D811" i="1" a="1"/>
  <c r="D811" i="1"/>
  <c r="D812" i="1" a="1"/>
  <c r="D812" i="1"/>
  <c r="F812" i="1" s="1"/>
  <c r="D851" i="1" a="1"/>
  <c r="D851" i="1" s="1"/>
  <c r="F851" i="1" s="1"/>
  <c r="D852" i="1" a="1"/>
  <c r="D852" i="1" s="1"/>
  <c r="F852" i="1" s="1"/>
  <c r="D873" i="1" a="1"/>
  <c r="D873" i="1" s="1"/>
  <c r="F873" i="1" s="1"/>
  <c r="D899" i="1" a="1"/>
  <c r="D899" i="1" s="1"/>
  <c r="F899" i="1" s="1"/>
  <c r="D518" i="1" a="1"/>
  <c r="D518" i="1" s="1"/>
  <c r="F518" i="1" s="1"/>
  <c r="D519" i="1" a="1"/>
  <c r="D519" i="1" s="1"/>
  <c r="F519" i="1" s="1"/>
  <c r="D520" i="1" a="1"/>
  <c r="D520" i="1" s="1"/>
  <c r="F520" i="1" s="1"/>
  <c r="D521" i="1" a="1"/>
  <c r="D521" i="1" s="1"/>
  <c r="F521" i="1" s="1"/>
  <c r="D522" i="1" a="1"/>
  <c r="D522" i="1" s="1"/>
  <c r="F522" i="1" s="1"/>
  <c r="D523" i="1" a="1"/>
  <c r="D523" i="1" s="1"/>
  <c r="F523" i="1" s="1"/>
  <c r="D524" i="1" a="1"/>
  <c r="D524" i="1" s="1"/>
  <c r="F524" i="1" s="1"/>
  <c r="D525" i="1" a="1"/>
  <c r="D525" i="1"/>
  <c r="D526" i="1" a="1"/>
  <c r="D526" i="1" s="1"/>
  <c r="F526" i="1" s="1"/>
  <c r="D527" i="1" a="1"/>
  <c r="D527" i="1" s="1"/>
  <c r="F527" i="1" s="1"/>
  <c r="D528" i="1" a="1"/>
  <c r="D528" i="1"/>
  <c r="D529" i="1" a="1"/>
  <c r="D529" i="1" s="1"/>
  <c r="F529" i="1" s="1"/>
  <c r="D530" i="1" a="1"/>
  <c r="D530" i="1" s="1"/>
  <c r="F530" i="1" s="1"/>
  <c r="D531" i="1" a="1"/>
  <c r="D531" i="1" s="1"/>
  <c r="F531" i="1" s="1"/>
  <c r="D532" i="1" a="1"/>
  <c r="D532" i="1" s="1"/>
  <c r="F532" i="1" s="1"/>
  <c r="D533" i="1" a="1"/>
  <c r="D533" i="1" s="1"/>
  <c r="F533" i="1" s="1"/>
  <c r="D534" i="1" a="1"/>
  <c r="D534" i="1" s="1"/>
  <c r="F534" i="1" s="1"/>
  <c r="D535" i="1" a="1"/>
  <c r="D535" i="1" s="1"/>
  <c r="F535" i="1" s="1"/>
  <c r="D536" i="1" a="1"/>
  <c r="D536" i="1" s="1"/>
  <c r="F536" i="1" s="1"/>
  <c r="D537" i="1" a="1"/>
  <c r="D537" i="1"/>
  <c r="F537" i="1" s="1"/>
  <c r="D538" i="1" a="1"/>
  <c r="D538" i="1" s="1"/>
  <c r="F538" i="1" s="1"/>
  <c r="D539" i="1" a="1"/>
  <c r="D539" i="1" s="1"/>
  <c r="F539" i="1" s="1"/>
  <c r="D540" i="1" a="1"/>
  <c r="D540" i="1" s="1"/>
  <c r="F540" i="1" s="1"/>
  <c r="D541" i="1" a="1"/>
  <c r="D541" i="1" s="1"/>
  <c r="F541" i="1" s="1"/>
  <c r="D542" i="1" a="1"/>
  <c r="D542" i="1" s="1"/>
  <c r="F542" i="1" s="1"/>
  <c r="D543" i="1" a="1"/>
  <c r="D543" i="1"/>
  <c r="F543" i="1" s="1"/>
  <c r="D544" i="1" a="1"/>
  <c r="D544" i="1" s="1"/>
  <c r="F544" i="1" s="1"/>
  <c r="D545" i="1" a="1"/>
  <c r="D545" i="1" s="1"/>
  <c r="F545" i="1" s="1"/>
  <c r="D546" i="1" a="1"/>
  <c r="D546" i="1"/>
  <c r="F546" i="1" s="1"/>
  <c r="D547" i="1" a="1"/>
  <c r="D547" i="1" s="1"/>
  <c r="F547" i="1" s="1"/>
  <c r="D548" i="1" a="1"/>
  <c r="D548" i="1" s="1"/>
  <c r="F548" i="1" s="1"/>
  <c r="D549" i="1" a="1"/>
  <c r="D549" i="1" s="1"/>
  <c r="F549" i="1" s="1"/>
  <c r="D550" i="1" a="1"/>
  <c r="D550" i="1" s="1"/>
  <c r="F550" i="1" s="1"/>
  <c r="D551" i="1" a="1"/>
  <c r="D551" i="1" s="1"/>
  <c r="F551" i="1" s="1"/>
  <c r="D552" i="1" a="1"/>
  <c r="D552" i="1"/>
  <c r="D553" i="1" a="1"/>
  <c r="D553" i="1" s="1"/>
  <c r="F553" i="1" s="1"/>
  <c r="D554" i="1" a="1"/>
  <c r="D554" i="1" s="1"/>
  <c r="F554" i="1" s="1"/>
  <c r="D555" i="1" a="1"/>
  <c r="D555" i="1"/>
  <c r="F555" i="1" s="1"/>
  <c r="D556" i="1" a="1"/>
  <c r="D556" i="1" s="1"/>
  <c r="F556" i="1" s="1"/>
  <c r="D557" i="1" a="1"/>
  <c r="D557" i="1" s="1"/>
  <c r="F557" i="1" s="1"/>
  <c r="D558" i="1" a="1"/>
  <c r="D558" i="1" s="1"/>
  <c r="F558" i="1" s="1"/>
  <c r="D559" i="1" a="1"/>
  <c r="D559" i="1" s="1"/>
  <c r="F559" i="1" s="1"/>
  <c r="D560" i="1" a="1"/>
  <c r="D560" i="1" s="1"/>
  <c r="F560" i="1" s="1"/>
  <c r="D561" i="1" a="1"/>
  <c r="D561" i="1"/>
  <c r="F561" i="1" s="1"/>
  <c r="D562" i="1" a="1"/>
  <c r="D562" i="1" s="1"/>
  <c r="F562" i="1" s="1"/>
  <c r="D563" i="1" a="1"/>
  <c r="D563" i="1" s="1"/>
  <c r="F563" i="1" s="1"/>
  <c r="D564" i="1" a="1"/>
  <c r="D564" i="1"/>
  <c r="F564" i="1" s="1"/>
  <c r="D565" i="1" a="1"/>
  <c r="D565" i="1" s="1"/>
  <c r="F565" i="1" s="1"/>
  <c r="D739" i="1" a="1"/>
  <c r="D739" i="1" s="1"/>
  <c r="F739" i="1" s="1"/>
  <c r="D740" i="1" a="1"/>
  <c r="D740" i="1" s="1"/>
  <c r="F740" i="1" s="1"/>
  <c r="D741" i="1" a="1"/>
  <c r="D741" i="1" s="1"/>
  <c r="F741" i="1" s="1"/>
  <c r="D742" i="1" a="1"/>
  <c r="D742" i="1" s="1"/>
  <c r="F742" i="1" s="1"/>
  <c r="D743" i="1" a="1"/>
  <c r="D743" i="1"/>
  <c r="F743" i="1" s="1"/>
  <c r="D744" i="1" a="1"/>
  <c r="D744" i="1" s="1"/>
  <c r="F744" i="1" s="1"/>
  <c r="D745" i="1" a="1"/>
  <c r="D745" i="1" s="1"/>
  <c r="F745" i="1" s="1"/>
  <c r="D746" i="1" a="1"/>
  <c r="D746" i="1"/>
  <c r="F746" i="1" s="1"/>
  <c r="D813" i="1" a="1"/>
  <c r="D813" i="1" s="1"/>
  <c r="F813" i="1" s="1"/>
  <c r="D814" i="1" a="1"/>
  <c r="D814" i="1" s="1"/>
  <c r="F814" i="1" s="1"/>
  <c r="D815" i="1" a="1"/>
  <c r="D815" i="1" s="1"/>
  <c r="F815" i="1" s="1"/>
  <c r="D816" i="1" a="1"/>
  <c r="D816" i="1" s="1"/>
  <c r="F816" i="1" s="1"/>
  <c r="D853" i="1" a="1"/>
  <c r="D853" i="1" s="1"/>
  <c r="F853" i="1" s="1"/>
  <c r="D854" i="1" a="1"/>
  <c r="D854" i="1"/>
  <c r="F854" i="1" s="1"/>
  <c r="D874" i="1" a="1"/>
  <c r="D874" i="1" s="1"/>
  <c r="F874" i="1" s="1"/>
  <c r="D900" i="1" a="1"/>
  <c r="D900" i="1" s="1"/>
  <c r="F900" i="1" s="1"/>
  <c r="D566" i="1" a="1"/>
  <c r="D566" i="1"/>
  <c r="F566" i="1" s="1"/>
  <c r="D567" i="1" a="1"/>
  <c r="D567" i="1" s="1"/>
  <c r="F567" i="1" s="1"/>
  <c r="D568" i="1" a="1"/>
  <c r="D568" i="1" s="1"/>
  <c r="F568" i="1" s="1"/>
  <c r="D569" i="1" a="1"/>
  <c r="D569" i="1" s="1"/>
  <c r="F569" i="1" s="1"/>
  <c r="D570" i="1" a="1"/>
  <c r="D570" i="1" s="1"/>
  <c r="F570" i="1" s="1"/>
  <c r="D571" i="1" a="1"/>
  <c r="D571" i="1" s="1"/>
  <c r="F571" i="1" s="1"/>
  <c r="D572" i="1" a="1"/>
  <c r="D572" i="1"/>
  <c r="F572" i="1" s="1"/>
  <c r="D573" i="1" a="1"/>
  <c r="D573" i="1" s="1"/>
  <c r="F573" i="1" s="1"/>
  <c r="D574" i="1" a="1"/>
  <c r="D574" i="1" s="1"/>
  <c r="F574" i="1" s="1"/>
  <c r="D575" i="1" a="1"/>
  <c r="D575" i="1"/>
  <c r="F575" i="1" s="1"/>
  <c r="D576" i="1" a="1"/>
  <c r="D576" i="1" s="1"/>
  <c r="F576" i="1" s="1"/>
  <c r="D577" i="1" a="1"/>
  <c r="D577" i="1" s="1"/>
  <c r="F577" i="1" s="1"/>
  <c r="D578" i="1" a="1"/>
  <c r="D578" i="1" s="1"/>
  <c r="F578" i="1" s="1"/>
  <c r="D579" i="1" a="1"/>
  <c r="D579" i="1" s="1"/>
  <c r="F579" i="1" s="1"/>
  <c r="D580" i="1" a="1"/>
  <c r="D580" i="1" s="1"/>
  <c r="F580" i="1" s="1"/>
  <c r="D581" i="1" a="1"/>
  <c r="D581" i="1"/>
  <c r="F581" i="1" s="1"/>
  <c r="D582" i="1" a="1"/>
  <c r="D582" i="1" s="1"/>
  <c r="F582" i="1" s="1"/>
  <c r="D583" i="1" a="1"/>
  <c r="D583" i="1" s="1"/>
  <c r="F583" i="1" s="1"/>
  <c r="D584" i="1" a="1"/>
  <c r="D584" i="1" s="1"/>
  <c r="F584" i="1" s="1"/>
  <c r="D585" i="1" a="1"/>
  <c r="D585" i="1" s="1"/>
  <c r="F585" i="1" s="1"/>
  <c r="D586" i="1" a="1"/>
  <c r="D586" i="1" s="1"/>
  <c r="F586" i="1" s="1"/>
  <c r="D587" i="1" a="1"/>
  <c r="D587" i="1" s="1"/>
  <c r="F587" i="1" s="1"/>
  <c r="D588" i="1" a="1"/>
  <c r="D588" i="1" s="1"/>
  <c r="F588" i="1" s="1"/>
  <c r="D589" i="1" a="1"/>
  <c r="D589" i="1" s="1"/>
  <c r="F589" i="1" s="1"/>
  <c r="D590" i="1" a="1"/>
  <c r="D590" i="1"/>
  <c r="F590" i="1" s="1"/>
  <c r="D591" i="1" a="1"/>
  <c r="D591" i="1" s="1"/>
  <c r="F591" i="1" s="1"/>
  <c r="D592" i="1" a="1"/>
  <c r="D592" i="1" s="1"/>
  <c r="F592" i="1" s="1"/>
  <c r="D593" i="1" a="1"/>
  <c r="D593" i="1" s="1"/>
  <c r="F593" i="1" s="1"/>
  <c r="D594" i="1" a="1"/>
  <c r="D594" i="1" s="1"/>
  <c r="F594" i="1" s="1"/>
  <c r="D595" i="1" a="1"/>
  <c r="D595" i="1" s="1"/>
  <c r="F595" i="1" s="1"/>
  <c r="D596" i="1" a="1"/>
  <c r="D596" i="1" s="1"/>
  <c r="F596" i="1" s="1"/>
  <c r="D597" i="1" a="1"/>
  <c r="D597" i="1" s="1"/>
  <c r="F597" i="1" s="1"/>
  <c r="D598" i="1" a="1"/>
  <c r="D598" i="1" s="1"/>
  <c r="F598" i="1" s="1"/>
  <c r="D599" i="1" a="1"/>
  <c r="D599" i="1" s="1"/>
  <c r="F599" i="1" s="1"/>
  <c r="D600" i="1" a="1"/>
  <c r="D600" i="1" s="1"/>
  <c r="F600" i="1" s="1"/>
  <c r="D601" i="1" a="1"/>
  <c r="D601" i="1" s="1"/>
  <c r="F601" i="1" s="1"/>
  <c r="D602" i="1" a="1"/>
  <c r="D602" i="1" s="1"/>
  <c r="F602" i="1" s="1"/>
  <c r="D603" i="1" a="1"/>
  <c r="D603" i="1" s="1"/>
  <c r="F603" i="1" s="1"/>
  <c r="D604" i="1" a="1"/>
  <c r="D604" i="1" s="1"/>
  <c r="F604" i="1" s="1"/>
  <c r="D605" i="1" a="1"/>
  <c r="D605" i="1"/>
  <c r="F605" i="1" s="1"/>
  <c r="D606" i="1" a="1"/>
  <c r="D606" i="1" s="1"/>
  <c r="F606" i="1" s="1"/>
  <c r="D607" i="1" a="1"/>
  <c r="D607" i="1" s="1"/>
  <c r="F607" i="1" s="1"/>
  <c r="D608" i="1" a="1"/>
  <c r="D608" i="1"/>
  <c r="F608" i="1" s="1"/>
  <c r="D609" i="1" a="1"/>
  <c r="D609" i="1" s="1"/>
  <c r="F609" i="1" s="1"/>
  <c r="D610" i="1" a="1"/>
  <c r="D610" i="1" s="1"/>
  <c r="F610" i="1" s="1"/>
  <c r="D611" i="1" a="1"/>
  <c r="D611" i="1" s="1"/>
  <c r="F611" i="1" s="1"/>
  <c r="D612" i="1" a="1"/>
  <c r="D612" i="1" s="1"/>
  <c r="F612" i="1" s="1"/>
  <c r="D613" i="1" a="1"/>
  <c r="D613" i="1" s="1"/>
  <c r="F613" i="1" s="1"/>
  <c r="D747" i="1" a="1"/>
  <c r="D747" i="1"/>
  <c r="F747" i="1" s="1"/>
  <c r="D748" i="1" a="1"/>
  <c r="D748" i="1" s="1"/>
  <c r="F748" i="1" s="1"/>
  <c r="D749" i="1" a="1"/>
  <c r="D749" i="1" s="1"/>
  <c r="F749" i="1" s="1"/>
  <c r="D750" i="1" a="1"/>
  <c r="D750" i="1" s="1"/>
  <c r="F750" i="1" s="1"/>
  <c r="D751" i="1" a="1"/>
  <c r="D751" i="1" s="1"/>
  <c r="F751" i="1" s="1"/>
  <c r="D752" i="1" a="1"/>
  <c r="D752" i="1" s="1"/>
  <c r="F752" i="1" s="1"/>
  <c r="D753" i="1" a="1"/>
  <c r="D753" i="1" s="1"/>
  <c r="F753" i="1" s="1"/>
  <c r="D754" i="1" a="1"/>
  <c r="D754" i="1" s="1"/>
  <c r="F754" i="1" s="1"/>
  <c r="D817" i="1" a="1"/>
  <c r="D817" i="1" s="1"/>
  <c r="F817" i="1" s="1"/>
  <c r="D818" i="1" a="1"/>
  <c r="D818" i="1"/>
  <c r="F818" i="1" s="1"/>
  <c r="D819" i="1" a="1"/>
  <c r="D819" i="1" s="1"/>
  <c r="F819" i="1" s="1"/>
  <c r="D820" i="1" a="1"/>
  <c r="D820" i="1" s="1"/>
  <c r="F820" i="1" s="1"/>
  <c r="D855" i="1" a="1"/>
  <c r="D855" i="1" s="1"/>
  <c r="F855" i="1" s="1"/>
  <c r="D856" i="1" a="1"/>
  <c r="D856" i="1" s="1"/>
  <c r="F856" i="1" s="1"/>
  <c r="D875" i="1" a="1"/>
  <c r="D875" i="1" s="1"/>
  <c r="F875" i="1" s="1"/>
  <c r="D901" i="1" a="1"/>
  <c r="D901" i="1" s="1"/>
  <c r="F901" i="1" s="1"/>
  <c r="F86" i="1"/>
  <c r="F87" i="1"/>
  <c r="F88" i="1"/>
  <c r="F89" i="1"/>
  <c r="F90" i="1"/>
  <c r="F98" i="1"/>
  <c r="F99" i="1"/>
  <c r="F822" i="1"/>
  <c r="F882" i="1"/>
  <c r="F669" i="1"/>
  <c r="F672" i="1"/>
  <c r="F673" i="1"/>
  <c r="F758" i="1"/>
  <c r="F759" i="1"/>
  <c r="F857" i="1"/>
  <c r="F679" i="1"/>
  <c r="F761" i="1"/>
  <c r="F764" i="1"/>
  <c r="F825" i="1"/>
  <c r="F858" i="1"/>
  <c r="F884" i="1"/>
  <c r="F653" i="1"/>
  <c r="F655" i="1"/>
  <c r="F657" i="1"/>
  <c r="F658" i="1"/>
  <c r="F661" i="1"/>
  <c r="F662" i="1"/>
  <c r="F665" i="1"/>
  <c r="F876" i="1"/>
  <c r="F879" i="1"/>
  <c r="F880" i="1"/>
  <c r="F101" i="1"/>
  <c r="F102" i="1"/>
  <c r="F107" i="1"/>
  <c r="F109" i="1"/>
  <c r="F113" i="1"/>
  <c r="F114" i="1"/>
  <c r="F115" i="1"/>
  <c r="F116" i="1"/>
  <c r="F117" i="1"/>
  <c r="F765" i="1"/>
  <c r="F827" i="1"/>
  <c r="F859" i="1"/>
  <c r="F885" i="1"/>
  <c r="F120" i="1"/>
  <c r="F121" i="1"/>
  <c r="F122" i="1"/>
  <c r="F123" i="1"/>
  <c r="F126" i="1"/>
  <c r="F127" i="1"/>
  <c r="F128" i="1"/>
  <c r="F129" i="1"/>
  <c r="F132" i="1"/>
  <c r="F133" i="1"/>
  <c r="F138" i="1"/>
  <c r="F140" i="1"/>
  <c r="F141" i="1"/>
  <c r="F142" i="1"/>
  <c r="F771" i="1"/>
  <c r="F829" i="1"/>
  <c r="F830" i="1"/>
  <c r="F886" i="1"/>
  <c r="F147" i="1"/>
  <c r="F148" i="1"/>
  <c r="F151" i="1"/>
  <c r="F154" i="1"/>
  <c r="F155" i="1"/>
  <c r="F156" i="1"/>
  <c r="F157" i="1"/>
  <c r="F159" i="1"/>
  <c r="F162" i="1"/>
  <c r="F164" i="1"/>
  <c r="F166" i="1"/>
  <c r="F169" i="1"/>
  <c r="F773" i="1"/>
  <c r="F776" i="1"/>
  <c r="F831" i="1"/>
  <c r="F832" i="1"/>
  <c r="F170" i="1"/>
  <c r="F171" i="1"/>
  <c r="F172" i="1"/>
  <c r="F173" i="1"/>
  <c r="F176" i="1"/>
  <c r="F177" i="1"/>
  <c r="F179" i="1"/>
  <c r="F182" i="1"/>
  <c r="F183" i="1"/>
  <c r="F185" i="1"/>
  <c r="F187" i="1"/>
  <c r="F188" i="1"/>
  <c r="F191" i="1"/>
  <c r="F778" i="1"/>
  <c r="F779" i="1"/>
  <c r="F196" i="1"/>
  <c r="F199" i="1"/>
  <c r="F203" i="1"/>
  <c r="F204" i="1"/>
  <c r="F207" i="1"/>
  <c r="F211" i="1"/>
  <c r="F216" i="1"/>
  <c r="F217" i="1"/>
  <c r="F781" i="1"/>
  <c r="F782" i="1"/>
  <c r="F783" i="1"/>
  <c r="F835" i="1"/>
  <c r="F836" i="1"/>
  <c r="F2" i="1"/>
  <c r="F3" i="1"/>
  <c r="F4" i="1"/>
  <c r="F5" i="1"/>
  <c r="F7" i="1"/>
  <c r="F13" i="1"/>
  <c r="F14" i="1"/>
  <c r="F19" i="1"/>
  <c r="F20" i="1"/>
  <c r="F24" i="1"/>
  <c r="F25" i="1"/>
  <c r="F614" i="1"/>
  <c r="F615" i="1"/>
  <c r="F616" i="1"/>
  <c r="F622" i="1"/>
  <c r="F623" i="1"/>
  <c r="F624" i="1"/>
  <c r="F625" i="1"/>
  <c r="F864" i="1"/>
  <c r="F27" i="1"/>
  <c r="F28" i="1"/>
  <c r="F29" i="1"/>
  <c r="F30" i="1"/>
  <c r="F32" i="1"/>
  <c r="F33" i="1"/>
  <c r="F37" i="1"/>
  <c r="F39" i="1"/>
  <c r="F40" i="1"/>
  <c r="F41" i="1"/>
  <c r="F44" i="1"/>
  <c r="F46" i="1"/>
  <c r="F48" i="1"/>
  <c r="F626" i="1"/>
  <c r="F632" i="1"/>
  <c r="F633" i="1"/>
  <c r="F635" i="1"/>
  <c r="F636" i="1"/>
  <c r="F54" i="1"/>
  <c r="F56" i="1"/>
  <c r="F57" i="1"/>
  <c r="F58" i="1"/>
  <c r="F63" i="1"/>
  <c r="F64" i="1"/>
  <c r="F70" i="1"/>
  <c r="F73" i="1"/>
  <c r="F74" i="1"/>
  <c r="F75" i="1"/>
  <c r="F78" i="1"/>
  <c r="F81" i="1"/>
  <c r="F82" i="1"/>
  <c r="F85" i="1"/>
  <c r="F638" i="1"/>
  <c r="F639" i="1"/>
  <c r="F640" i="1"/>
  <c r="F642" i="1"/>
  <c r="F643" i="1"/>
  <c r="F645" i="1"/>
  <c r="F646" i="1"/>
  <c r="F892" i="1"/>
  <c r="F219" i="1"/>
  <c r="F220" i="1"/>
  <c r="F221" i="1"/>
  <c r="F222" i="1"/>
  <c r="F227" i="1"/>
  <c r="F231" i="1"/>
  <c r="F236" i="1"/>
  <c r="F239" i="1"/>
  <c r="F242" i="1"/>
  <c r="F243" i="1"/>
  <c r="F244" i="1"/>
  <c r="F249" i="1"/>
  <c r="F683" i="1"/>
  <c r="F690" i="1"/>
  <c r="F786" i="1"/>
  <c r="F867" i="1"/>
  <c r="F893" i="1"/>
  <c r="F254" i="1"/>
  <c r="F266" i="1"/>
  <c r="F268" i="1"/>
  <c r="F274" i="1"/>
  <c r="F275" i="1"/>
  <c r="F276" i="1"/>
  <c r="F280" i="1"/>
  <c r="F283" i="1"/>
  <c r="F285" i="1"/>
  <c r="F286" i="1"/>
  <c r="F289" i="1"/>
  <c r="F789" i="1"/>
  <c r="F790" i="1"/>
  <c r="F791" i="1"/>
  <c r="F792" i="1"/>
  <c r="F292" i="1"/>
  <c r="F298" i="1"/>
  <c r="F300" i="1"/>
  <c r="F309" i="1"/>
  <c r="F317" i="1"/>
  <c r="F700" i="1"/>
  <c r="F703" i="1"/>
  <c r="F704" i="1"/>
  <c r="F705" i="1"/>
  <c r="F706" i="1"/>
  <c r="F338" i="1"/>
  <c r="F339" i="1"/>
  <c r="F362" i="1"/>
  <c r="F367" i="1"/>
  <c r="F708" i="1"/>
  <c r="F377" i="1"/>
  <c r="F384" i="1"/>
  <c r="F386" i="1"/>
  <c r="F390" i="1"/>
  <c r="F395" i="1"/>
  <c r="F419" i="1"/>
  <c r="F802" i="1"/>
  <c r="F445" i="1"/>
  <c r="F471" i="1"/>
  <c r="F482" i="1"/>
  <c r="F483" i="1"/>
  <c r="F502" i="1"/>
  <c r="F509" i="1"/>
  <c r="F732" i="1"/>
  <c r="F811" i="1"/>
  <c r="F525" i="1"/>
  <c r="F528" i="1"/>
  <c r="F552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821" i="1"/>
  <c r="K822" i="1"/>
  <c r="K882" i="1"/>
  <c r="K666" i="1"/>
  <c r="K667" i="1"/>
  <c r="K668" i="1"/>
  <c r="K669" i="1"/>
  <c r="K670" i="1"/>
  <c r="K671" i="1"/>
  <c r="K672" i="1"/>
  <c r="K673" i="1"/>
  <c r="K755" i="1"/>
  <c r="K756" i="1"/>
  <c r="K757" i="1"/>
  <c r="K758" i="1"/>
  <c r="K759" i="1"/>
  <c r="K823" i="1"/>
  <c r="K824" i="1"/>
  <c r="K857" i="1"/>
  <c r="K883" i="1"/>
  <c r="K674" i="1"/>
  <c r="K675" i="1"/>
  <c r="K676" i="1"/>
  <c r="K677" i="1"/>
  <c r="K678" i="1"/>
  <c r="K679" i="1"/>
  <c r="K680" i="1"/>
  <c r="K681" i="1"/>
  <c r="K682" i="1"/>
  <c r="K760" i="1"/>
  <c r="K761" i="1"/>
  <c r="K762" i="1"/>
  <c r="K763" i="1"/>
  <c r="K764" i="1"/>
  <c r="K825" i="1"/>
  <c r="K826" i="1"/>
  <c r="K858" i="1"/>
  <c r="K884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876" i="1"/>
  <c r="K877" i="1"/>
  <c r="K878" i="1"/>
  <c r="K879" i="1"/>
  <c r="K880" i="1"/>
  <c r="K881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765" i="1"/>
  <c r="K766" i="1"/>
  <c r="K767" i="1"/>
  <c r="K768" i="1"/>
  <c r="K827" i="1"/>
  <c r="K828" i="1"/>
  <c r="K859" i="1"/>
  <c r="K885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769" i="1"/>
  <c r="K770" i="1"/>
  <c r="K771" i="1"/>
  <c r="K772" i="1"/>
  <c r="K829" i="1"/>
  <c r="K830" i="1"/>
  <c r="K860" i="1"/>
  <c r="K886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773" i="1"/>
  <c r="K774" i="1"/>
  <c r="K775" i="1"/>
  <c r="K776" i="1"/>
  <c r="K831" i="1"/>
  <c r="K832" i="1"/>
  <c r="K861" i="1"/>
  <c r="K887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777" i="1"/>
  <c r="K778" i="1"/>
  <c r="K779" i="1"/>
  <c r="K780" i="1"/>
  <c r="K833" i="1"/>
  <c r="K834" i="1"/>
  <c r="K862" i="1"/>
  <c r="K888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781" i="1"/>
  <c r="K782" i="1"/>
  <c r="K783" i="1"/>
  <c r="K784" i="1"/>
  <c r="K835" i="1"/>
  <c r="K836" i="1"/>
  <c r="K863" i="1"/>
  <c r="K88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864" i="1"/>
  <c r="K890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865" i="1"/>
  <c r="K891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837" i="1"/>
  <c r="K838" i="1"/>
  <c r="K866" i="1"/>
  <c r="K892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683" i="1"/>
  <c r="K684" i="1"/>
  <c r="K685" i="1"/>
  <c r="K686" i="1"/>
  <c r="K687" i="1"/>
  <c r="K688" i="1"/>
  <c r="K689" i="1"/>
  <c r="K690" i="1"/>
  <c r="K785" i="1"/>
  <c r="K786" i="1"/>
  <c r="K787" i="1"/>
  <c r="K788" i="1"/>
  <c r="K839" i="1"/>
  <c r="K840" i="1"/>
  <c r="K867" i="1"/>
  <c r="K89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691" i="1"/>
  <c r="K692" i="1"/>
  <c r="K693" i="1"/>
  <c r="K694" i="1"/>
  <c r="K695" i="1"/>
  <c r="K696" i="1"/>
  <c r="K697" i="1"/>
  <c r="K698" i="1"/>
  <c r="K789" i="1"/>
  <c r="K790" i="1"/>
  <c r="K791" i="1"/>
  <c r="K792" i="1"/>
  <c r="K841" i="1"/>
  <c r="K842" i="1"/>
  <c r="K868" i="1"/>
  <c r="K894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699" i="1"/>
  <c r="K700" i="1"/>
  <c r="K701" i="1"/>
  <c r="K702" i="1"/>
  <c r="K703" i="1"/>
  <c r="K704" i="1"/>
  <c r="K705" i="1"/>
  <c r="K706" i="1"/>
  <c r="K793" i="1"/>
  <c r="K794" i="1"/>
  <c r="K795" i="1"/>
  <c r="K796" i="1"/>
  <c r="K843" i="1"/>
  <c r="K844" i="1"/>
  <c r="K869" i="1"/>
  <c r="K89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707" i="1"/>
  <c r="K708" i="1"/>
  <c r="K709" i="1"/>
  <c r="K710" i="1"/>
  <c r="K711" i="1"/>
  <c r="K712" i="1"/>
  <c r="K713" i="1"/>
  <c r="K714" i="1"/>
  <c r="K797" i="1"/>
  <c r="K798" i="1"/>
  <c r="K799" i="1"/>
  <c r="K800" i="1"/>
  <c r="K845" i="1"/>
  <c r="K846" i="1"/>
  <c r="K870" i="1"/>
  <c r="K896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715" i="1"/>
  <c r="K716" i="1"/>
  <c r="K717" i="1"/>
  <c r="K718" i="1"/>
  <c r="K719" i="1"/>
  <c r="K720" i="1"/>
  <c r="K721" i="1"/>
  <c r="K722" i="1"/>
  <c r="K801" i="1"/>
  <c r="K802" i="1"/>
  <c r="K803" i="1"/>
  <c r="K804" i="1"/>
  <c r="K847" i="1"/>
  <c r="K848" i="1"/>
  <c r="K871" i="1"/>
  <c r="K897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723" i="1"/>
  <c r="K724" i="1"/>
  <c r="K725" i="1"/>
  <c r="K726" i="1"/>
  <c r="K727" i="1"/>
  <c r="K728" i="1"/>
  <c r="K729" i="1"/>
  <c r="K730" i="1"/>
  <c r="K805" i="1"/>
  <c r="K806" i="1"/>
  <c r="K807" i="1"/>
  <c r="K808" i="1"/>
  <c r="K849" i="1"/>
  <c r="K850" i="1"/>
  <c r="K872" i="1"/>
  <c r="K898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731" i="1"/>
  <c r="K732" i="1"/>
  <c r="K733" i="1"/>
  <c r="K734" i="1"/>
  <c r="K735" i="1"/>
  <c r="K736" i="1"/>
  <c r="K737" i="1"/>
  <c r="K738" i="1"/>
  <c r="K809" i="1"/>
  <c r="K810" i="1"/>
  <c r="K811" i="1"/>
  <c r="K812" i="1"/>
  <c r="K851" i="1"/>
  <c r="K852" i="1"/>
  <c r="K873" i="1"/>
  <c r="K899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739" i="1"/>
  <c r="K740" i="1"/>
  <c r="K741" i="1"/>
  <c r="K742" i="1"/>
  <c r="K743" i="1"/>
  <c r="K744" i="1"/>
  <c r="K745" i="1"/>
  <c r="K746" i="1"/>
  <c r="K813" i="1"/>
  <c r="K814" i="1"/>
  <c r="K815" i="1"/>
  <c r="K816" i="1"/>
  <c r="K853" i="1"/>
  <c r="K854" i="1"/>
  <c r="K874" i="1"/>
  <c r="K900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747" i="1"/>
  <c r="K748" i="1"/>
  <c r="K749" i="1"/>
  <c r="K750" i="1"/>
  <c r="K751" i="1"/>
  <c r="K752" i="1"/>
  <c r="K753" i="1"/>
  <c r="K754" i="1"/>
  <c r="K817" i="1"/>
  <c r="K818" i="1"/>
  <c r="K819" i="1"/>
  <c r="K820" i="1"/>
  <c r="K855" i="1"/>
  <c r="K856" i="1"/>
  <c r="K875" i="1"/>
  <c r="K901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821" i="1"/>
  <c r="M822" i="1"/>
  <c r="M882" i="1"/>
  <c r="M666" i="1"/>
  <c r="M667" i="1"/>
  <c r="M668" i="1"/>
  <c r="M669" i="1"/>
  <c r="M670" i="1"/>
  <c r="M671" i="1"/>
  <c r="M672" i="1"/>
  <c r="M673" i="1"/>
  <c r="M755" i="1"/>
  <c r="M756" i="1"/>
  <c r="M757" i="1"/>
  <c r="M758" i="1"/>
  <c r="M759" i="1"/>
  <c r="M823" i="1"/>
  <c r="M824" i="1"/>
  <c r="M857" i="1"/>
  <c r="M883" i="1"/>
  <c r="M674" i="1"/>
  <c r="M675" i="1"/>
  <c r="M676" i="1"/>
  <c r="M677" i="1"/>
  <c r="M678" i="1"/>
  <c r="M679" i="1"/>
  <c r="M680" i="1"/>
  <c r="M681" i="1"/>
  <c r="M682" i="1"/>
  <c r="M760" i="1"/>
  <c r="M761" i="1"/>
  <c r="M762" i="1"/>
  <c r="M763" i="1"/>
  <c r="M764" i="1"/>
  <c r="M825" i="1"/>
  <c r="M826" i="1"/>
  <c r="M858" i="1"/>
  <c r="M884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876" i="1"/>
  <c r="M877" i="1"/>
  <c r="M878" i="1"/>
  <c r="M879" i="1"/>
  <c r="M880" i="1"/>
  <c r="M881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765" i="1"/>
  <c r="M766" i="1"/>
  <c r="M767" i="1"/>
  <c r="M768" i="1"/>
  <c r="M827" i="1"/>
  <c r="M828" i="1"/>
  <c r="M859" i="1"/>
  <c r="M885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769" i="1"/>
  <c r="M770" i="1"/>
  <c r="M771" i="1"/>
  <c r="M772" i="1"/>
  <c r="M829" i="1"/>
  <c r="M830" i="1"/>
  <c r="M860" i="1"/>
  <c r="M886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773" i="1"/>
  <c r="M774" i="1"/>
  <c r="M775" i="1"/>
  <c r="M776" i="1"/>
  <c r="M831" i="1"/>
  <c r="M832" i="1"/>
  <c r="M861" i="1"/>
  <c r="M887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777" i="1"/>
  <c r="M778" i="1"/>
  <c r="M779" i="1"/>
  <c r="M780" i="1"/>
  <c r="M833" i="1"/>
  <c r="M834" i="1"/>
  <c r="M862" i="1"/>
  <c r="M888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781" i="1"/>
  <c r="M782" i="1"/>
  <c r="M783" i="1"/>
  <c r="M784" i="1"/>
  <c r="M835" i="1"/>
  <c r="M836" i="1"/>
  <c r="M863" i="1"/>
  <c r="M88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864" i="1"/>
  <c r="M890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865" i="1"/>
  <c r="M891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837" i="1"/>
  <c r="M838" i="1"/>
  <c r="M866" i="1"/>
  <c r="M892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683" i="1"/>
  <c r="M684" i="1"/>
  <c r="M685" i="1"/>
  <c r="M686" i="1"/>
  <c r="M687" i="1"/>
  <c r="M688" i="1"/>
  <c r="M689" i="1"/>
  <c r="M690" i="1"/>
  <c r="M785" i="1"/>
  <c r="M786" i="1"/>
  <c r="M787" i="1"/>
  <c r="M788" i="1"/>
  <c r="M839" i="1"/>
  <c r="M840" i="1"/>
  <c r="M867" i="1"/>
  <c r="M89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691" i="1"/>
  <c r="M692" i="1"/>
  <c r="M693" i="1"/>
  <c r="M694" i="1"/>
  <c r="M695" i="1"/>
  <c r="M696" i="1"/>
  <c r="M697" i="1"/>
  <c r="M698" i="1"/>
  <c r="M789" i="1"/>
  <c r="M790" i="1"/>
  <c r="M791" i="1"/>
  <c r="M792" i="1"/>
  <c r="M841" i="1"/>
  <c r="M842" i="1"/>
  <c r="M868" i="1"/>
  <c r="M894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699" i="1"/>
  <c r="M700" i="1"/>
  <c r="M701" i="1"/>
  <c r="M702" i="1"/>
  <c r="M703" i="1"/>
  <c r="M704" i="1"/>
  <c r="M705" i="1"/>
  <c r="M706" i="1"/>
  <c r="M793" i="1"/>
  <c r="M794" i="1"/>
  <c r="M795" i="1"/>
  <c r="M796" i="1"/>
  <c r="M843" i="1"/>
  <c r="M844" i="1"/>
  <c r="M869" i="1"/>
  <c r="M89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707" i="1"/>
  <c r="M708" i="1"/>
  <c r="M709" i="1"/>
  <c r="M710" i="1"/>
  <c r="M711" i="1"/>
  <c r="M712" i="1"/>
  <c r="M713" i="1"/>
  <c r="M714" i="1"/>
  <c r="M797" i="1"/>
  <c r="M798" i="1"/>
  <c r="M799" i="1"/>
  <c r="M800" i="1"/>
  <c r="M845" i="1"/>
  <c r="M846" i="1"/>
  <c r="M870" i="1"/>
  <c r="M896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715" i="1"/>
  <c r="M716" i="1"/>
  <c r="M717" i="1"/>
  <c r="M718" i="1"/>
  <c r="M719" i="1"/>
  <c r="M720" i="1"/>
  <c r="M721" i="1"/>
  <c r="M722" i="1"/>
  <c r="M801" i="1"/>
  <c r="M802" i="1"/>
  <c r="M803" i="1"/>
  <c r="M804" i="1"/>
  <c r="M847" i="1"/>
  <c r="M848" i="1"/>
  <c r="M871" i="1"/>
  <c r="M897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723" i="1"/>
  <c r="M724" i="1"/>
  <c r="M725" i="1"/>
  <c r="M726" i="1"/>
  <c r="M727" i="1"/>
  <c r="M728" i="1"/>
  <c r="M729" i="1"/>
  <c r="M730" i="1"/>
  <c r="M805" i="1"/>
  <c r="M806" i="1"/>
  <c r="M807" i="1"/>
  <c r="M808" i="1"/>
  <c r="M849" i="1"/>
  <c r="M850" i="1"/>
  <c r="M872" i="1"/>
  <c r="M898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731" i="1"/>
  <c r="M732" i="1"/>
  <c r="M733" i="1"/>
  <c r="M734" i="1"/>
  <c r="M735" i="1"/>
  <c r="M736" i="1"/>
  <c r="M737" i="1"/>
  <c r="M738" i="1"/>
  <c r="M809" i="1"/>
  <c r="M810" i="1"/>
  <c r="M811" i="1"/>
  <c r="M812" i="1"/>
  <c r="M851" i="1"/>
  <c r="M852" i="1"/>
  <c r="M873" i="1"/>
  <c r="M899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739" i="1"/>
  <c r="M740" i="1"/>
  <c r="M741" i="1"/>
  <c r="M742" i="1"/>
  <c r="M743" i="1"/>
  <c r="M744" i="1"/>
  <c r="M745" i="1"/>
  <c r="M746" i="1"/>
  <c r="M813" i="1"/>
  <c r="M814" i="1"/>
  <c r="M815" i="1"/>
  <c r="M816" i="1"/>
  <c r="M853" i="1"/>
  <c r="M854" i="1"/>
  <c r="M874" i="1"/>
  <c r="M900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747" i="1"/>
  <c r="M748" i="1"/>
  <c r="M749" i="1"/>
  <c r="M750" i="1"/>
  <c r="M751" i="1"/>
  <c r="M752" i="1"/>
  <c r="M753" i="1"/>
  <c r="M754" i="1"/>
  <c r="M817" i="1"/>
  <c r="M818" i="1"/>
  <c r="M819" i="1"/>
  <c r="M820" i="1"/>
  <c r="M855" i="1"/>
  <c r="M856" i="1"/>
  <c r="M875" i="1"/>
  <c r="M9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1046F2-E734-43CA-9902-F61EA3F7E6B6}" keepAlive="1" name="Query - 2022_world_cup_groups" description="Connection to the '2022_world_cup_groups' query in the workbook." type="5" refreshedVersion="8" background="1" saveData="1">
    <dbPr connection="Provider=Microsoft.Mashup.OleDb.1;Data Source=$Workbook$;Location=2022_world_cup_groups;Extended Properties=&quot;&quot;" command="SELECT * FROM [2022_world_cup_groups]"/>
  </connection>
  <connection id="2" xr16:uid="{7C7DD10A-2829-440E-936C-035CC24F0B7D}" keepAlive="1" name="Query - 2022_world_cup_matches" description="Connection to the '2022_world_cup_matches' query in the workbook." type="5" refreshedVersion="8" background="1" saveData="1">
    <dbPr connection="Provider=Microsoft.Mashup.OleDb.1;Data Source=$Workbook$;Location=2022_world_cup_matches;Extended Properties=&quot;&quot;" command="SELECT * FROM [2022_world_cup_matches]"/>
  </connection>
  <connection id="3" xr16:uid="{1B702229-46D0-43E2-9E37-4ECED184D46D}" keepAlive="1" name="Query - 2022_world_cup_squads" description="Connection to the '2022_world_cup_squads' query in the workbook." type="5" refreshedVersion="8" background="1" saveData="1">
    <dbPr connection="Provider=Microsoft.Mashup.OleDb.1;Data Source=$Workbook$;Location=2022_world_cup_squads;Extended Properties=&quot;&quot;" command="SELECT * FROM [2022_world_cup_squads]"/>
  </connection>
  <connection id="4" xr16:uid="{0FDD0FED-826A-42DE-90B9-003DFC9F6A1E}" keepAlive="1" name="Query - data_dictionary" description="Connection to the 'data_dictionary' query in the workbook." type="5" refreshedVersion="8" background="1" saveData="1">
    <dbPr connection="Provider=Microsoft.Mashup.OleDb.1;Data Source=$Workbook$;Location=data_dictionary;Extended Properties=&quot;&quot;" command="SELECT * FROM [data_dictionary]"/>
  </connection>
  <connection id="5" xr16:uid="{1A42C3BF-A9FC-4ED3-A01A-4E4FA078BDB2}" keepAlive="1" name="Query - international_matches" description="Connection to the 'international_matches' query in the workbook." type="5" refreshedVersion="8" background="1" saveData="1">
    <dbPr connection="Provider=Microsoft.Mashup.OleDb.1;Data Source=$Workbook$;Location=international_matches;Extended Properties=&quot;&quot;" command="SELECT * FROM [international_matches]"/>
  </connection>
  <connection id="6" xr16:uid="{BFEF6FEB-09F6-4199-8FF2-E405F3EE6E0B}" keepAlive="1" name="Query - world_cup_matches" description="Connection to the 'world_cup_matches' query in the workbook." type="5" refreshedVersion="8" background="1" saveData="1">
    <dbPr connection="Provider=Microsoft.Mashup.OleDb.1;Data Source=$Workbook$;Location=world_cup_matches;Extended Properties=&quot;&quot;" command="SELECT * FROM [world_cup_matches]"/>
  </connection>
  <connection id="7" xr16:uid="{E01666DF-54A8-412C-8BA8-1A2977D54E43}" keepAlive="1" name="Query - world_cup_matches (2)" description="Connection to the 'world_cup_matches (2)' query in the workbook." type="5" refreshedVersion="8" background="1" saveData="1">
    <dbPr connection="Provider=Microsoft.Mashup.OleDb.1;Data Source=$Workbook$;Location=&quot;world_cup_matches (2)&quot;;Extended Properties=&quot;&quot;" command="SELECT * FROM [world_cup_matches (2)]"/>
  </connection>
  <connection id="8" xr16:uid="{731610FF-D420-45C0-93C5-7D8A0EE962D8}" keepAlive="1" name="Query - world_cups" description="Connection to the 'world_cups' query in the workbook." type="5" refreshedVersion="8" background="1" saveData="1">
    <dbPr connection="Provider=Microsoft.Mashup.OleDb.1;Data Source=$Workbook$;Location=world_cups;Extended Properties=&quot;&quot;" command="SELECT * FROM [world_cups]"/>
  </connection>
  <connection id="9" xr16:uid="{5B3D9FA8-70EC-4CB5-B32F-25E99BC90D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56736BF7-2E37-41FB-AC99-D4CCB5A26CDA}" name="WorksheetConnection_World_Cup_Storytelling_Dashboard.xlsx!world_cup_matches9" type="102" refreshedVersion="8" minRefreshableVersion="5">
    <extLst>
      <ext xmlns:x15="http://schemas.microsoft.com/office/spreadsheetml/2010/11/main" uri="{DE250136-89BD-433C-8126-D09CA5730AF9}">
        <x15:connection id="world_cup_matches9" autoDelete="1">
          <x15:rangePr sourceName="_xlcn.WorksheetConnection_World_Cup_Storytelling_Dashboard.xlsxworld_cup_matches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<sst xmlns="http://schemas.openxmlformats.org/spreadsheetml/2006/main" count="3738" uniqueCount="159">
  <si>
    <t>Ecuador</t>
  </si>
  <si>
    <t>Senegal</t>
  </si>
  <si>
    <t>Netherlands</t>
  </si>
  <si>
    <t>England</t>
  </si>
  <si>
    <t>Iran</t>
  </si>
  <si>
    <t>United States</t>
  </si>
  <si>
    <t>Wales</t>
  </si>
  <si>
    <t>Argentina</t>
  </si>
  <si>
    <t>Saudi Arabia</t>
  </si>
  <si>
    <t>Mexico</t>
  </si>
  <si>
    <t>Poland</t>
  </si>
  <si>
    <t>France</t>
  </si>
  <si>
    <t>Australia</t>
  </si>
  <si>
    <t>Denmark</t>
  </si>
  <si>
    <t>Tunisia</t>
  </si>
  <si>
    <t>Spain</t>
  </si>
  <si>
    <t>Costa Rica</t>
  </si>
  <si>
    <t>Germany</t>
  </si>
  <si>
    <t>Japan</t>
  </si>
  <si>
    <t>Belgium</t>
  </si>
  <si>
    <t>Canada</t>
  </si>
  <si>
    <t>Morocco</t>
  </si>
  <si>
    <t>Croatia</t>
  </si>
  <si>
    <t>Brazil</t>
  </si>
  <si>
    <t>Serbia</t>
  </si>
  <si>
    <t>Switzerland</t>
  </si>
  <si>
    <t>Cameroon</t>
  </si>
  <si>
    <t>Portugal</t>
  </si>
  <si>
    <t>Ghana</t>
  </si>
  <si>
    <t>Uruguay</t>
  </si>
  <si>
    <t>South Korea</t>
  </si>
  <si>
    <t>ID</t>
  </si>
  <si>
    <t>Year</t>
  </si>
  <si>
    <t>Date</t>
  </si>
  <si>
    <t>Stage</t>
  </si>
  <si>
    <t>Home Team</t>
  </si>
  <si>
    <t>Away Team</t>
  </si>
  <si>
    <t>Host Team</t>
  </si>
  <si>
    <t>Group stage</t>
  </si>
  <si>
    <t>Round of 16</t>
  </si>
  <si>
    <t>Quarter-finals</t>
  </si>
  <si>
    <t>Semi-finals</t>
  </si>
  <si>
    <t>Third place</t>
  </si>
  <si>
    <t>Final</t>
  </si>
  <si>
    <t>Goals</t>
  </si>
  <si>
    <t>Turkey</t>
  </si>
  <si>
    <t>Italy</t>
  </si>
  <si>
    <t>Greece</t>
  </si>
  <si>
    <t>United Arab Emirates</t>
  </si>
  <si>
    <t>Scotland</t>
  </si>
  <si>
    <t>Kuwait</t>
  </si>
  <si>
    <t>Egypt</t>
  </si>
  <si>
    <t>Hungary</t>
  </si>
  <si>
    <t>Colombia</t>
  </si>
  <si>
    <t>Russia</t>
  </si>
  <si>
    <t>Austria</t>
  </si>
  <si>
    <t>China</t>
  </si>
  <si>
    <t>Home Goals</t>
  </si>
  <si>
    <t>Away Goals</t>
  </si>
  <si>
    <t>Win Conditions</t>
  </si>
  <si>
    <t>Northern Ireland</t>
  </si>
  <si>
    <t>Czechoslovakia</t>
  </si>
  <si>
    <t>Sweden</t>
  </si>
  <si>
    <t>Chile</t>
  </si>
  <si>
    <t>Norway</t>
  </si>
  <si>
    <t>Paraguay</t>
  </si>
  <si>
    <t>El Salvador</t>
  </si>
  <si>
    <t>New Zealand</t>
  </si>
  <si>
    <t>Romania</t>
  </si>
  <si>
    <t>Yugoslavia</t>
  </si>
  <si>
    <t>South Africa</t>
  </si>
  <si>
    <t>Bolivia</t>
  </si>
  <si>
    <t>Peru</t>
  </si>
  <si>
    <t>Republic of Ireland</t>
  </si>
  <si>
    <t>Bulgaria</t>
  </si>
  <si>
    <t>Cuba</t>
  </si>
  <si>
    <t>Indonesia</t>
  </si>
  <si>
    <t>Slovakia</t>
  </si>
  <si>
    <t>Panama</t>
  </si>
  <si>
    <t>Honduras</t>
  </si>
  <si>
    <t>Iceland</t>
  </si>
  <si>
    <t>Israel</t>
  </si>
  <si>
    <t>Nigeria</t>
  </si>
  <si>
    <t>Haiti</t>
  </si>
  <si>
    <t>Togo</t>
  </si>
  <si>
    <t>Iraq</t>
  </si>
  <si>
    <t>Ivory Coast</t>
  </si>
  <si>
    <t>Jamaica</t>
  </si>
  <si>
    <t>Algeria</t>
  </si>
  <si>
    <t>DR Congo</t>
  </si>
  <si>
    <t>Trinidad and Tobago</t>
  </si>
  <si>
    <t>North Korea</t>
  </si>
  <si>
    <t>Angola</t>
  </si>
  <si>
    <t>Slovenia</t>
  </si>
  <si>
    <t>Ukraine</t>
  </si>
  <si>
    <t>Czech Republic</t>
  </si>
  <si>
    <t>Bosnia and Herzegovina</t>
  </si>
  <si>
    <t>Extra time</t>
  </si>
  <si>
    <t>First round</t>
  </si>
  <si>
    <t>Final round</t>
  </si>
  <si>
    <t>First group stage</t>
  </si>
  <si>
    <t>East Germany</t>
  </si>
  <si>
    <t>Second group stage</t>
  </si>
  <si>
    <t>Germany win on penalties (5 - 4)</t>
  </si>
  <si>
    <t>France win on penalties (3 - 4)</t>
  </si>
  <si>
    <t>Germany win on penalties (4 - 1)</t>
  </si>
  <si>
    <t>Belgium win on penalties (4 - 5)</t>
  </si>
  <si>
    <t>Republic of Ireland win on penalties (5 - 4)</t>
  </si>
  <si>
    <t>Argentina win on penalties (2 - 3)</t>
  </si>
  <si>
    <t>Argentina win on penalties (3 - 4)</t>
  </si>
  <si>
    <t>Germany win on penalties (4 - 3)</t>
  </si>
  <si>
    <t>Bulgaria win on penalties (1 - 3)</t>
  </si>
  <si>
    <t>Sweden win on penalties (4 - 5)</t>
  </si>
  <si>
    <t>Brazil win on penalties (3 - 2)</t>
  </si>
  <si>
    <t>Argentina win on penalties (4 - 3)</t>
  </si>
  <si>
    <t>Brazil win on penalties (4 - 2)</t>
  </si>
  <si>
    <t>Golden goal</t>
  </si>
  <si>
    <t>Spain win on penalties (3 - 2)</t>
  </si>
  <si>
    <t>South Korea win on penalties (3 - 5)</t>
  </si>
  <si>
    <t>Ukraine win on penalties (0 - 3)</t>
  </si>
  <si>
    <t>Germany win on penalties (4 - 2)</t>
  </si>
  <si>
    <t>Portugal win on penalties (1 - 3)</t>
  </si>
  <si>
    <t>Italy win on penalties (5 - 3)</t>
  </si>
  <si>
    <t>Paraguay win on penalties (5 - 3)</t>
  </si>
  <si>
    <t>Uruguay win on penalties (4 - 2)</t>
  </si>
  <si>
    <t>Costa Rica win on penalties (5 - 3)</t>
  </si>
  <si>
    <t>Netherlands win on penalties (4 - 3)</t>
  </si>
  <si>
    <t>Argentina win on penalties (2 - 4)</t>
  </si>
  <si>
    <t>Russia win on penalties (4 - 3)</t>
  </si>
  <si>
    <t>Croatia win on penalties (3 - 2)</t>
  </si>
  <si>
    <t>England win on penalties (3 - 4)</t>
  </si>
  <si>
    <t>Croatia win on penalties (3 - 4)</t>
  </si>
  <si>
    <t>Normal</t>
  </si>
  <si>
    <t>Host_Status</t>
  </si>
  <si>
    <t>Win_Type</t>
  </si>
  <si>
    <t>StageOrder</t>
  </si>
  <si>
    <t>Row Labels</t>
  </si>
  <si>
    <t>Grand Total</t>
  </si>
  <si>
    <t>Non-Host</t>
  </si>
  <si>
    <t>Host</t>
  </si>
  <si>
    <t>Average Goals per Match by Tournament Stage</t>
  </si>
  <si>
    <t>STAGES</t>
  </si>
  <si>
    <t>Penalties</t>
  </si>
  <si>
    <t>Column Labels</t>
  </si>
  <si>
    <t>Count of ID</t>
  </si>
  <si>
    <t>How does win method (Normal / Extra / Penalties) vary by stage?</t>
  </si>
  <si>
    <t>Does host advantage reduce in knockout stages?</t>
  </si>
  <si>
    <t>Are finals structurally different from earlier knockout matches?</t>
  </si>
  <si>
    <t>Stage_Group</t>
  </si>
  <si>
    <t>High Pressure</t>
  </si>
  <si>
    <t>Low Pressure</t>
  </si>
  <si>
    <t>Min of StageOrder</t>
  </si>
  <si>
    <t>Match Count</t>
  </si>
  <si>
    <t>% of Matches</t>
  </si>
  <si>
    <t>Count of ID2</t>
  </si>
  <si>
    <t>Average of Goals</t>
  </si>
  <si>
    <t>Sum of Goals</t>
  </si>
  <si>
    <t>FIFA World Cup Structural Analysis Dashboard</t>
  </si>
  <si>
    <t>Analysing goals, win methods, host advantage &amp; pressure across tournament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</si>
</sst>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48"/>
      <color rgb="FFFEC310"/>
      <name val="Calibri"/>
      <family val="2"/>
    </font>
    <font>
      <sz val="20"/>
      <color theme="1"/>
      <name val="Aptos Narrow"/>
      <family val="2"/>
      <scheme val="minor"/>
    </font>
    <font>
      <b/>
      <i/>
      <sz val="24"/>
      <color theme="2"/>
      <name val="Calibri"/>
      <family val="2"/>
    </font>
    <font>
      <b/>
      <sz val="48"/>
      <color rgb="FF5C0029"/>
      <name val="Calibri"/>
      <family val="2"/>
    </font>
    <font>
      <b/>
      <i/>
      <sz val="24"/>
      <color rgb="FF8A153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21">
    <dxf>
      <numFmt numFmtId="1" formatCode="0"/>
    </dxf>
    <dxf>
      <numFmt numFmtId="19" formatCode="m/d/yyyy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1" formatCode="0"/>
    </dxf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4" formatCode="0.00%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CEAED"/>
      <color rgb="FFF6C0C8"/>
      <color rgb="FFF2A8B3"/>
      <color rgb="FFED8796"/>
      <color rgb="FFF87474"/>
      <color rgb="FFF1C5CE"/>
      <color rgb="FFE7CFE3"/>
      <color rgb="FF57ABA5"/>
      <color rgb="FFF9CC7B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[World_Cup_Storytelling_Dashboard - Copy.xlsx]01_Goals_by_Stage!PivotTable7</c:name>
    <c:fmtId val="2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9A8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46031982280879"/>
          <c:y val="0.14224818567558914"/>
          <c:w val="0.75118632047736422"/>
          <c:h val="0.67911068930672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'01_Goals_by_Stage'!$B$2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'01_Goals_by_Stage'!$A$3:$A$12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'01_Goals_by_Stage'!$B$3:$B$12</c:f>
              <c:numCache>
                <c:formatCode>0</c:formatCode>
                <c:ptCount val="10"/>
                <c:pt idx="0">
                  <c:v>2.6547619047619047</c:v>
                </c:pt>
                <c:pt idx="1">
                  <c:v>2.6666666666666665</c:v>
                </c:pt>
                <c:pt idx="2">
                  <c:v>2.6111111111111112</c:v>
                </c:pt>
                <c:pt idx="3">
                  <c:v>3.5625</c:v>
                </c:pt>
                <c:pt idx="4">
                  <c:v>3.0898876404494384</c:v>
                </c:pt>
                <c:pt idx="5">
                  <c:v>2.8181818181818183</c:v>
                </c:pt>
                <c:pt idx="6">
                  <c:v>3.5277777777777777</c:v>
                </c:pt>
                <c:pt idx="7">
                  <c:v>3.8421052631578947</c:v>
                </c:pt>
                <c:pt idx="8">
                  <c:v>5.166666666666667</c:v>
                </c:pt>
                <c:pt idx="9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9-40FD-BE9E-57C7F172F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978080"/>
        <c:axId val="774977120"/>
      </c:barChart>
      <c:catAx>
        <c:axId val="774978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77120"/>
        <c:crosses val="autoZero"/>
        <c:auto val="1"/>
        <c:lblAlgn val="ctr"/>
        <c:lblOffset val="100"/>
        <c:noMultiLvlLbl val="0"/>
      </c:catAx>
      <c:valAx>
        <c:axId val="774977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7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>
      <a:glow rad="63500">
        <a:schemeClr val="accent1">
          <a:satMod val="175000"/>
          <a:alpha val="40000"/>
        </a:schemeClr>
      </a:glow>
      <a:outerShdw blurRad="50800" dist="50800" dir="21540000" algn="ctr" rotWithShape="0">
        <a:srgbClr val="6B0535"/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[World_Cup_Storytelling_Dashboard - Copy.xlsx]02_Win_Method_by_Stage!PivotTable8</c:name>
    <c:fmtId val="15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9A84C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57ABA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C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'02_Win_Method_by_Stage'!$B$2:$B$3</c:f>
              <c:strCache>
                <c:ptCount val="1"/>
                <c:pt idx="0">
                  <c:v>Extra time</c:v>
                </c:pt>
              </c:strCache>
            </c:strRef>
          </c:tx>
          <c:spPr>
            <a:solidFill>
              <a:srgbClr val="C9A84C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'02_Win_Method_by_Stage'!$B$4:$B$13</c:f>
              <c:numCache>
                <c:formatCode>0.00%</c:formatCode>
                <c:ptCount val="10"/>
                <c:pt idx="0">
                  <c:v>0</c:v>
                </c:pt>
                <c:pt idx="1">
                  <c:v>1.893939393939394E-3</c:v>
                </c:pt>
                <c:pt idx="2">
                  <c:v>0</c:v>
                </c:pt>
                <c:pt idx="3">
                  <c:v>0</c:v>
                </c:pt>
                <c:pt idx="4">
                  <c:v>0.16853932584269662</c:v>
                </c:pt>
                <c:pt idx="5">
                  <c:v>4.5454545454545456E-2</c:v>
                </c:pt>
                <c:pt idx="6">
                  <c:v>0.1111111111111111</c:v>
                </c:pt>
                <c:pt idx="7">
                  <c:v>5.2631578947368418E-2</c:v>
                </c:pt>
                <c:pt idx="8">
                  <c:v>0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D-4CF4-9B9B-67F411D1C495}"/>
            </c:ext>
          </c:extLst>
        </c:ser>
        <c:ser>
          <c:idx val="1"/>
          <c:order val="1"/>
          <c:tx>
            <c:strRef>
              <c:f>'02_Win_Method_by_Stage'!$C$2:$C$3</c:f>
              <c:strCache>
                <c:ptCount val="1"/>
                <c:pt idx="0">
                  <c:v>Golden goal</c:v>
                </c:pt>
              </c:strCache>
            </c:strRef>
          </c:tx>
          <c:spPr>
            <a:solidFill>
              <a:srgbClr val="57ABA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'02_Win_Method_by_Stage'!$C$4:$C$13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2.247191011235955E-2</c:v>
                </c:pt>
                <c:pt idx="5">
                  <c:v>1.5151515151515152E-2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D-4CF4-9B9B-67F411D1C495}"/>
            </c:ext>
          </c:extLst>
        </c:ser>
        <c:ser>
          <c:idx val="2"/>
          <c:order val="2"/>
          <c:tx>
            <c:strRef>
              <c:f>'02_Win_Method_by_Stage'!$D$2:$D$3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'02_Win_Method_by_Stage'!$D$4:$D$13</c:f>
              <c:numCache>
                <c:formatCode>0.00%</c:formatCode>
                <c:ptCount val="10"/>
                <c:pt idx="0">
                  <c:v>1</c:v>
                </c:pt>
                <c:pt idx="1">
                  <c:v>0.99810606060606055</c:v>
                </c:pt>
                <c:pt idx="2">
                  <c:v>1</c:v>
                </c:pt>
                <c:pt idx="3">
                  <c:v>1</c:v>
                </c:pt>
                <c:pt idx="4">
                  <c:v>0.6853932584269663</c:v>
                </c:pt>
                <c:pt idx="5">
                  <c:v>0.75757575757575757</c:v>
                </c:pt>
                <c:pt idx="6">
                  <c:v>0.75</c:v>
                </c:pt>
                <c:pt idx="7">
                  <c:v>0.94736842105263153</c:v>
                </c:pt>
                <c:pt idx="8">
                  <c:v>1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AD-4CF4-9B9B-67F411D1C495}"/>
            </c:ext>
          </c:extLst>
        </c:ser>
        <c:ser>
          <c:idx val="3"/>
          <c:order val="3"/>
          <c:tx>
            <c:strRef>
              <c:f>'02_Win_Method_by_Stage'!$E$2:$E$3</c:f>
              <c:strCache>
                <c:ptCount val="1"/>
                <c:pt idx="0">
                  <c:v>Penalties</c:v>
                </c:pt>
              </c:strCache>
            </c:strRef>
          </c:tx>
          <c:spPr>
            <a:solidFill>
              <a:srgbClr val="CC0000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'02_Win_Method_by_Stage'!$E$4:$E$13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0.12359550561797752</c:v>
                </c:pt>
                <c:pt idx="5">
                  <c:v>0.18181818181818182</c:v>
                </c:pt>
                <c:pt idx="6">
                  <c:v>0.1388888888888889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AD-4CF4-9B9B-67F411D1C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2675888"/>
        <c:axId val="912676368"/>
      </c:barChart>
      <c:catAx>
        <c:axId val="91267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6368"/>
        <c:crosses val="autoZero"/>
        <c:auto val="1"/>
        <c:lblAlgn val="ctr"/>
        <c:lblOffset val="100"/>
        <c:noMultiLvlLbl val="0"/>
      </c:catAx>
      <c:valAx>
        <c:axId val="912676368"/>
        <c:scaling>
          <c:orientation val="minMax"/>
          <c:max val="1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>
      <a:glow rad="63500">
        <a:schemeClr val="accent1">
          <a:satMod val="175000"/>
          <a:alpha val="40000"/>
        </a:schemeClr>
      </a:glow>
      <a:outerShdw blurRad="50800" dist="50800" dir="21540000" algn="ctr" rotWithShape="0">
        <a:srgbClr val="6B0535"/>
      </a:outerShdw>
      <a:softEdge rad="0"/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[World_Cup_Storytelling_Dashboard - Copy.xlsx]03_Host_Advantage!PivotTable2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9A8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'03_Host_Advantage'!$B$2:$B$3</c:f>
              <c:strCache>
                <c:ptCount val="1"/>
                <c:pt idx="0">
                  <c:v>Host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'03_Host_Advantage'!$A$4:$A$13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'03_Host_Advantage'!$B$4:$B$13</c:f>
              <c:numCache>
                <c:formatCode>0.00%</c:formatCode>
                <c:ptCount val="10"/>
                <c:pt idx="0">
                  <c:v>0.10714285714285714</c:v>
                </c:pt>
                <c:pt idx="1">
                  <c:v>8.9015151515151519E-2</c:v>
                </c:pt>
                <c:pt idx="2">
                  <c:v>0.22222222222222221</c:v>
                </c:pt>
                <c:pt idx="3">
                  <c:v>0.1875</c:v>
                </c:pt>
                <c:pt idx="4">
                  <c:v>0.12359550561797752</c:v>
                </c:pt>
                <c:pt idx="5">
                  <c:v>0.22727272727272727</c:v>
                </c:pt>
                <c:pt idx="6">
                  <c:v>0.27777777777777779</c:v>
                </c:pt>
                <c:pt idx="7">
                  <c:v>0.26315789473684209</c:v>
                </c:pt>
                <c:pt idx="8">
                  <c:v>0.5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A8-40D1-A1E7-2C6CA26AC287}"/>
            </c:ext>
          </c:extLst>
        </c:ser>
        <c:ser>
          <c:idx val="1"/>
          <c:order val="1"/>
          <c:tx>
            <c:strRef>
              <c:f>'03_Host_Advantage'!$C$2:$C$3</c:f>
              <c:strCache>
                <c:ptCount val="1"/>
                <c:pt idx="0">
                  <c:v>Non-Host</c:v>
                </c:pt>
              </c:strCache>
            </c:strRef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'03_Host_Advantage'!$A$4:$A$13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'03_Host_Advantage'!$C$4:$C$13</c:f>
              <c:numCache>
                <c:formatCode>0.00%</c:formatCode>
                <c:ptCount val="10"/>
                <c:pt idx="0">
                  <c:v>0.8928571428571429</c:v>
                </c:pt>
                <c:pt idx="1">
                  <c:v>0.91098484848484851</c:v>
                </c:pt>
                <c:pt idx="2">
                  <c:v>0.77777777777777779</c:v>
                </c:pt>
                <c:pt idx="3">
                  <c:v>0.8125</c:v>
                </c:pt>
                <c:pt idx="4">
                  <c:v>0.8764044943820225</c:v>
                </c:pt>
                <c:pt idx="5">
                  <c:v>0.77272727272727271</c:v>
                </c:pt>
                <c:pt idx="6">
                  <c:v>0.72222222222222221</c:v>
                </c:pt>
                <c:pt idx="7">
                  <c:v>0.73684210526315785</c:v>
                </c:pt>
                <c:pt idx="8">
                  <c:v>0.5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A8-40D1-A1E7-2C6CA26AC2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4875616"/>
        <c:axId val="2014876096"/>
      </c:barChart>
      <c:catAx>
        <c:axId val="201487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76096"/>
        <c:crosses val="autoZero"/>
        <c:auto val="1"/>
        <c:lblAlgn val="ctr"/>
        <c:lblOffset val="100"/>
        <c:noMultiLvlLbl val="0"/>
      </c:catAx>
      <c:valAx>
        <c:axId val="201487609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>
      <a:glow rad="63500">
        <a:schemeClr val="accent1">
          <a:satMod val="175000"/>
          <a:alpha val="40000"/>
        </a:schemeClr>
      </a:glow>
      <a:outerShdw blurRad="50800" dist="50800" dir="1500000" algn="ctr" rotWithShape="0">
        <a:srgbClr val="6B0535"/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[World_Cup_Storytelling_Dashboard - Copy.xlsx]04_High_vs_Low_Pressure!PivotTable1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0277799650043734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518044619422572"/>
                  <c:h val="8.789370078740158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8005565-DE22-4220-9B9B-60D24F06590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972373-E69B-41B9-A480-09C478AEBCB0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611111111111111E-2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C307AB9-F17D-4915-9A3D-5B6E17B20CA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166666666666666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972373-E69B-41B9-A480-09C478AEBCB0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8005565-DE22-4220-9B9B-60D24F06590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9.166666666666666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C307AB9-F17D-4915-9A3D-5B6E17B20CAF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C0972373-E69B-41B9-A480-09C478AEBCB0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3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F8005565-DE22-4220-9B9B-60D24F06590A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4"/>
        <c:spPr>
          <a:solidFill>
            <a:srgbClr val="C9A84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C9A84C"/>
          </a:solidFill>
          <a:ln>
            <a:noFill/>
          </a:ln>
          <a:effectLst/>
        </c:spPr>
        <c:dLbl>
          <c:idx val="0"/>
          <c:layout>
            <c:manualLayout>
              <c:x val="-9.166666666666666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C9A84C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fld id="{3C307AB9-F17D-4915-9A3D-5B6E17B20CAF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7"/>
        <c:spPr>
          <a:solidFill>
            <a:srgbClr val="CC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C0000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CC0000"/>
          </a:solidFill>
          <a:ln>
            <a:noFill/>
          </a:ln>
          <a:effectLst/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'04_High_vs_Low_Pressure'!$B$2:$B$3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1D3-499B-9F42-70463B51DC1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1D3-499B-9F42-70463B51DC1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0972373-E69B-41B9-A480-09C478AEBCB0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1D3-499B-9F42-70463B51DC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005565-DE22-4220-9B9B-60D24F06590A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1D3-499B-9F42-70463B51DC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'04_High_vs_Low_Pressure'!$A$4:$A$5</c:f>
              <c:strCache>
                <c:ptCount val="2"/>
                <c:pt idx="0">
                  <c:v>Low Pressure</c:v>
                </c:pt>
                <c:pt idx="1">
                  <c:v>High Pressure</c:v>
                </c:pt>
              </c:strCache>
            </c:strRef>
          </c:cat>
          <c:val>
            <c:numRef>
              <c:f>'04_High_vs_Low_Pressure'!$B$4:$B$5</c:f>
              <c:numCache>
                <c:formatCode>0.00%</c:formatCode>
                <c:ptCount val="2"/>
                <c:pt idx="0">
                  <c:v>0.94852941176470584</c:v>
                </c:pt>
                <c:pt idx="1">
                  <c:v>0.79012345679012341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D3-499B-9F42-70463B51DC1B}"/>
            </c:ext>
          </c:extLst>
        </c:ser>
        <c:ser>
          <c:idx val="1"/>
          <c:order val="1"/>
          <c:tx>
            <c:strRef>
              <c:f>'04_High_vs_Low_Pressure'!$C$2:$C$3</c:f>
              <c:strCache>
                <c:ptCount val="1"/>
                <c:pt idx="0">
                  <c:v>Extra time</c:v>
                </c:pt>
              </c:strCache>
            </c:strRef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1D3-499B-9F42-70463B51DC1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1D3-499B-9F42-70463B51DC1B}"/>
              </c:ext>
            </c:extLst>
          </c:dPt>
          <c:dLbls>
            <c:dLbl>
              <c:idx val="0"/>
              <c:layout>
                <c:manualLayout>
                  <c:x val="-9.166666666666666E-2"/>
                  <c:y val="-1.85185185185185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D3-499B-9F42-70463B51DC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307AB9-F17D-4915-9A3D-5B6E17B20CAF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1D3-499B-9F42-70463B51DC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'04_High_vs_Low_Pressure'!$A$4:$A$5</c:f>
              <c:strCache>
                <c:ptCount val="2"/>
                <c:pt idx="0">
                  <c:v>Low Pressure</c:v>
                </c:pt>
                <c:pt idx="1">
                  <c:v>High Pressure</c:v>
                </c:pt>
              </c:strCache>
            </c:strRef>
          </c:cat>
          <c:val>
            <c:numRef>
              <c:f>'04_High_vs_Low_Pressure'!$C$4:$C$5</c:f>
              <c:numCache>
                <c:formatCode>0.00%</c:formatCode>
                <c:ptCount val="2"/>
                <c:pt idx="0">
                  <c:v>2.3284313725490197E-2</c:v>
                </c:pt>
                <c:pt idx="1">
                  <c:v>0.12345679012345678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D3-499B-9F42-70463B51DC1B}"/>
            </c:ext>
          </c:extLst>
        </c:ser>
        <c:ser>
          <c:idx val="2"/>
          <c:order val="2"/>
          <c:tx>
            <c:strRef>
              <c:f>'04_High_vs_Low_Pressure'!$D$2:$D$3</c:f>
              <c:strCache>
                <c:ptCount val="1"/>
                <c:pt idx="0">
                  <c:v>Penalties</c:v>
                </c:pt>
              </c:strCache>
            </c:strRef>
          </c:tx>
          <c:spPr>
            <a:solidFill>
              <a:srgbClr val="CC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F1D3-499B-9F42-70463B51DC1B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1D3-499B-9F42-70463B51DC1B}"/>
              </c:ext>
            </c:extLst>
          </c:dPt>
          <c:dLbls>
            <c:dLbl>
              <c:idx val="0"/>
              <c:layout>
                <c:manualLayout>
                  <c:x val="8.3333333333333332E-3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1D3-499B-9F42-70463B51DC1B}"/>
                </c:ext>
              </c:extLst>
            </c:dLbl>
            <c:dLbl>
              <c:idx val="1"/>
              <c:layout>
                <c:manualLayout>
                  <c:x val="0"/>
                  <c:y val="-6.01851851851851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1D3-499B-9F42-70463B51DC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'04_High_vs_Low_Pressure'!$A$4:$A$5</c:f>
              <c:strCache>
                <c:ptCount val="2"/>
                <c:pt idx="0">
                  <c:v>Low Pressure</c:v>
                </c:pt>
                <c:pt idx="1">
                  <c:v>High Pressure</c:v>
                </c:pt>
              </c:strCache>
            </c:strRef>
          </c:cat>
          <c:val>
            <c:numRef>
              <c:f>'04_High_vs_Low_Pressure'!$D$4:$D$5</c:f>
              <c:numCache>
                <c:formatCode>0.00%</c:formatCode>
                <c:ptCount val="2"/>
                <c:pt idx="0">
                  <c:v>2.8186274509803922E-2</c:v>
                </c:pt>
                <c:pt idx="1">
                  <c:v>8.6419753086419748E-2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D3-499B-9F42-70463B51DC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14069264"/>
        <c:axId val="2014071184"/>
      </c:barChart>
      <c:catAx>
        <c:axId val="201406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71184"/>
        <c:crosses val="autoZero"/>
        <c:auto val="1"/>
        <c:lblAlgn val="ctr"/>
        <c:lblOffset val="100"/>
        <c:noMultiLvlLbl val="0"/>
      </c:catAx>
      <c:valAx>
        <c:axId val="201407118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6926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noFill/>
      <a:round/>
    </a:ln>
    <a:effectLst>
      <a:glow rad="63500">
        <a:schemeClr val="accent1">
          <a:satMod val="175000"/>
          <a:alpha val="40000"/>
        </a:schemeClr>
      </a:glow>
      <a:outerShdw blurRad="50800" dist="50800" dir="21540000" algn="ctr" rotWithShape="0">
        <a:srgbClr val="6B0535"/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[World_Cup_Storytelling_Dashboard - Copy.xlsx]01_Goals_by_Stage!PivotTable7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GOALS BY TOURNAMENT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'01_Goals_by_Stage'!$B$2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'01_Goals_by_Stage'!$A$3:$A$12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'01_Goals_by_Stage'!$B$3:$B$12</c:f>
              <c:numCache>
                <c:formatCode>0</c:formatCode>
                <c:ptCount val="10"/>
                <c:pt idx="0">
                  <c:v>2.6547619047619047</c:v>
                </c:pt>
                <c:pt idx="1">
                  <c:v>2.6666666666666665</c:v>
                </c:pt>
                <c:pt idx="2">
                  <c:v>2.6111111111111112</c:v>
                </c:pt>
                <c:pt idx="3">
                  <c:v>3.5625</c:v>
                </c:pt>
                <c:pt idx="4">
                  <c:v>3.0898876404494384</c:v>
                </c:pt>
                <c:pt idx="5">
                  <c:v>2.8181818181818183</c:v>
                </c:pt>
                <c:pt idx="6">
                  <c:v>3.5277777777777777</c:v>
                </c:pt>
                <c:pt idx="7">
                  <c:v>3.8421052631578947</c:v>
                </c:pt>
                <c:pt idx="8">
                  <c:v>5.166666666666667</c:v>
                </c:pt>
                <c:pt idx="9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A1-4C11-B429-64455FEBC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978080"/>
        <c:axId val="774977120"/>
      </c:barChart>
      <c:catAx>
        <c:axId val="774978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77120"/>
        <c:crosses val="autoZero"/>
        <c:auto val="1"/>
        <c:lblAlgn val="ctr"/>
        <c:lblOffset val="100"/>
        <c:noMultiLvlLbl val="0"/>
      </c:catAx>
      <c:valAx>
        <c:axId val="77497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GOALS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97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[World_Cup_Storytelling_Dashboard - Copy.xlsx]02_Win_Method_by_Stage!PivotTable8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 METHODS ACROSS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'02_Win_Method_by_Stage'!$B$2:$B$3</c:f>
              <c:strCache>
                <c:ptCount val="1"/>
                <c:pt idx="0">
                  <c:v>Extra time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'02_Win_Method_by_Stage'!$B$4:$B$13</c:f>
              <c:numCache>
                <c:formatCode>0.00%</c:formatCode>
                <c:ptCount val="10"/>
                <c:pt idx="0">
                  <c:v>0</c:v>
                </c:pt>
                <c:pt idx="1">
                  <c:v>1.893939393939394E-3</c:v>
                </c:pt>
                <c:pt idx="2">
                  <c:v>0</c:v>
                </c:pt>
                <c:pt idx="3">
                  <c:v>0</c:v>
                </c:pt>
                <c:pt idx="4">
                  <c:v>0.16853932584269662</c:v>
                </c:pt>
                <c:pt idx="5">
                  <c:v>4.5454545454545456E-2</c:v>
                </c:pt>
                <c:pt idx="6">
                  <c:v>0.1111111111111111</c:v>
                </c:pt>
                <c:pt idx="7">
                  <c:v>5.2631578947368418E-2</c:v>
                </c:pt>
                <c:pt idx="8">
                  <c:v>0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9-4F1B-BD20-CBDF84A03EC2}"/>
            </c:ext>
          </c:extLst>
        </c:ser>
        <c:ser>
          <c:idx val="1"/>
          <c:order val="1"/>
          <c:tx>
            <c:strRef>
              <c:f>'02_Win_Method_by_Stage'!$C$2:$C$3</c:f>
              <c:strCache>
                <c:ptCount val="1"/>
                <c:pt idx="0">
                  <c:v>Golden goal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'02_Win_Method_by_Stage'!$C$4:$C$13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2.247191011235955E-2</c:v>
                </c:pt>
                <c:pt idx="5">
                  <c:v>1.5151515151515152E-2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9-4F1B-BD20-CBDF84A03EC2}"/>
            </c:ext>
          </c:extLst>
        </c:ser>
        <c:ser>
          <c:idx val="2"/>
          <c:order val="2"/>
          <c:tx>
            <c:strRef>
              <c:f>'02_Win_Method_by_Stage'!$D$2:$D$3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'02_Win_Method_by_Stage'!$D$4:$D$13</c:f>
              <c:numCache>
                <c:formatCode>0.00%</c:formatCode>
                <c:ptCount val="10"/>
                <c:pt idx="0">
                  <c:v>1</c:v>
                </c:pt>
                <c:pt idx="1">
                  <c:v>0.99810606060606055</c:v>
                </c:pt>
                <c:pt idx="2">
                  <c:v>1</c:v>
                </c:pt>
                <c:pt idx="3">
                  <c:v>1</c:v>
                </c:pt>
                <c:pt idx="4">
                  <c:v>0.6853932584269663</c:v>
                </c:pt>
                <c:pt idx="5">
                  <c:v>0.75757575757575757</c:v>
                </c:pt>
                <c:pt idx="6">
                  <c:v>0.75</c:v>
                </c:pt>
                <c:pt idx="7">
                  <c:v>0.94736842105263153</c:v>
                </c:pt>
                <c:pt idx="8">
                  <c:v>1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49-4F1B-BD20-CBDF84A03EC2}"/>
            </c:ext>
          </c:extLst>
        </c:ser>
        <c:ser>
          <c:idx val="3"/>
          <c:order val="3"/>
          <c:tx>
            <c:strRef>
              <c:f>'02_Win_Method_by_Stage'!$E$2:$E$3</c:f>
              <c:strCache>
                <c:ptCount val="1"/>
                <c:pt idx="0">
                  <c:v>Penalties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'02_Win_Method_by_Stage'!$A$4:$A$13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'02_Win_Method_by_Stage'!$E$4:$E$13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0.12359550561797752</c:v>
                </c:pt>
                <c:pt idx="5">
                  <c:v>0.18181818181818182</c:v>
                </c:pt>
                <c:pt idx="6">
                  <c:v>0.1388888888888889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49-4F1B-BD20-CBDF84A03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2675888"/>
        <c:axId val="912676368"/>
      </c:barChart>
      <c:catAx>
        <c:axId val="91267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6368"/>
        <c:crosses val="autoZero"/>
        <c:auto val="1"/>
        <c:lblAlgn val="ctr"/>
        <c:lblOffset val="100"/>
        <c:noMultiLvlLbl val="0"/>
      </c:catAx>
      <c:valAx>
        <c:axId val="912676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6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[World_Cup_Storytelling_Dashboard - Copy.xlsx]03_Host_Advantage!PivotTable2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Host Win Share by Tournament Stage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'03_Host_Advantage'!$B$2:$B$3</c:f>
              <c:strCache>
                <c:ptCount val="1"/>
                <c:pt idx="0">
                  <c:v>Host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'03_Host_Advantage'!$A$4:$A$13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'03_Host_Advantage'!$B$4:$B$13</c:f>
              <c:numCache>
                <c:formatCode>0.00%</c:formatCode>
                <c:ptCount val="10"/>
                <c:pt idx="0">
                  <c:v>0.10714285714285714</c:v>
                </c:pt>
                <c:pt idx="1">
                  <c:v>8.9015151515151519E-2</c:v>
                </c:pt>
                <c:pt idx="2">
                  <c:v>0.22222222222222221</c:v>
                </c:pt>
                <c:pt idx="3">
                  <c:v>0.1875</c:v>
                </c:pt>
                <c:pt idx="4">
                  <c:v>0.12359550561797752</c:v>
                </c:pt>
                <c:pt idx="5">
                  <c:v>0.22727272727272727</c:v>
                </c:pt>
                <c:pt idx="6">
                  <c:v>0.27777777777777779</c:v>
                </c:pt>
                <c:pt idx="7">
                  <c:v>0.26315789473684209</c:v>
                </c:pt>
                <c:pt idx="8">
                  <c:v>0.5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0-463A-B6E3-53C9A9C42DE0}"/>
            </c:ext>
          </c:extLst>
        </c:ser>
        <c:ser>
          <c:idx val="1"/>
          <c:order val="1"/>
          <c:tx>
            <c:strRef>
              <c:f>'03_Host_Advantage'!$C$2:$C$3</c:f>
              <c:strCache>
                <c:ptCount val="1"/>
                <c:pt idx="0">
                  <c:v>Non-Host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'03_Host_Advantage'!$A$4:$A$13</c:f>
              <c:strCache>
                <c:ptCount val="10"/>
                <c:pt idx="0">
                  <c:v>First group stage</c:v>
                </c:pt>
                <c:pt idx="1">
                  <c:v>Group stage</c:v>
                </c:pt>
                <c:pt idx="2">
                  <c:v>Second group stage</c:v>
                </c:pt>
                <c:pt idx="3">
                  <c:v>First round</c:v>
                </c:pt>
                <c:pt idx="4">
                  <c:v>Round of 16</c:v>
                </c:pt>
                <c:pt idx="5">
                  <c:v>Quarter-finals</c:v>
                </c:pt>
                <c:pt idx="6">
                  <c:v>Semi-finals</c:v>
                </c:pt>
                <c:pt idx="7">
                  <c:v>Third place</c:v>
                </c:pt>
                <c:pt idx="8">
                  <c:v>Final round</c:v>
                </c:pt>
                <c:pt idx="9">
                  <c:v>Final</c:v>
                </c:pt>
              </c:strCache>
            </c:strRef>
          </c:cat>
          <c:val>
            <c:numRef>
              <c:f>'03_Host_Advantage'!$C$4:$C$13</c:f>
              <c:numCache>
                <c:formatCode>0.00%</c:formatCode>
                <c:ptCount val="10"/>
                <c:pt idx="0">
                  <c:v>0.8928571428571429</c:v>
                </c:pt>
                <c:pt idx="1">
                  <c:v>0.91098484848484851</c:v>
                </c:pt>
                <c:pt idx="2">
                  <c:v>0.77777777777777779</c:v>
                </c:pt>
                <c:pt idx="3">
                  <c:v>0.8125</c:v>
                </c:pt>
                <c:pt idx="4">
                  <c:v>0.8764044943820225</c:v>
                </c:pt>
                <c:pt idx="5">
                  <c:v>0.77272727272727271</c:v>
                </c:pt>
                <c:pt idx="6">
                  <c:v>0.72222222222222221</c:v>
                </c:pt>
                <c:pt idx="7">
                  <c:v>0.73684210526315785</c:v>
                </c:pt>
                <c:pt idx="8">
                  <c:v>0.5</c:v>
                </c:pt>
                <c:pt idx="9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0-463A-B6E3-53C9A9C42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875616"/>
        <c:axId val="2014876096"/>
      </c:barChart>
      <c:catAx>
        <c:axId val="20148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76096"/>
        <c:crosses val="autoZero"/>
        <c:auto val="1"/>
        <c:lblAlgn val="ctr"/>
        <c:lblOffset val="100"/>
        <c:noMultiLvlLbl val="0"/>
      </c:catAx>
      <c:valAx>
        <c:axId val="201487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[World_Cup_Storytelling_Dashboard - Copy.xlsx]04_High_vs_Low_Pressure!PivotTable1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High-Pressure Matches Are 5x More Likely to Have Extra Time Compared to Early Stage Matches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.10277799650043734"/>
              <c:y val="-2.77777777777777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518044619422572"/>
                  <c:h val="8.789370078740158E-2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0"/>
              <c:y val="-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3333333333333332E-3"/>
              <c:y val="-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8005565-DE22-4220-9B9B-60D24F06590A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972373-E69B-41B9-A480-09C478AEBCB0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8.611111111111111E-2"/>
              <c:y val="-1.38888888888888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C307AB9-F17D-4915-9A3D-5B6E17B20CAF}" type="VALUE">
                  <a:rPr lang="en-US">
                    <a:solidFill>
                      <a:schemeClr val="bg1"/>
                    </a:solidFill>
                  </a:rPr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9.166666666666666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'04_High_vs_Low_Pressure'!$B$2:$B$3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152-4249-8C37-010C6988D0C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C152-4249-8C37-010C6988D0C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0972373-E69B-41B9-A480-09C478AEBCB0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C152-4249-8C37-010C6988D0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8005565-DE22-4220-9B9B-60D24F06590A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C152-4249-8C37-010C6988D0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'04_High_vs_Low_Pressure'!$A$4:$A$5</c:f>
              <c:strCache>
                <c:ptCount val="2"/>
                <c:pt idx="0">
                  <c:v>Low Pressure</c:v>
                </c:pt>
                <c:pt idx="1">
                  <c:v>High Pressure</c:v>
                </c:pt>
              </c:strCache>
            </c:strRef>
          </c:cat>
          <c:val>
            <c:numRef>
              <c:f>'04_High_vs_Low_Pressure'!$B$4:$B$5</c:f>
              <c:numCache>
                <c:formatCode>0.00%</c:formatCode>
                <c:ptCount val="2"/>
                <c:pt idx="0">
                  <c:v>0.94852941176470584</c:v>
                </c:pt>
                <c:pt idx="1">
                  <c:v>0.79012345679012341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2-4249-8C37-010C6988D0C2}"/>
            </c:ext>
          </c:extLst>
        </c:ser>
        <c:ser>
          <c:idx val="1"/>
          <c:order val="1"/>
          <c:tx>
            <c:strRef>
              <c:f>'04_High_vs_Low_Pressure'!$C$2:$C$3</c:f>
              <c:strCache>
                <c:ptCount val="1"/>
                <c:pt idx="0">
                  <c:v>Extra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152-4249-8C37-010C6988D0C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152-4249-8C37-010C6988D0C2}"/>
              </c:ext>
            </c:extLst>
          </c:dPt>
          <c:dLbls>
            <c:dLbl>
              <c:idx val="0"/>
              <c:layout>
                <c:manualLayout>
                  <c:x val="-9.166666666666666E-2"/>
                  <c:y val="-1.85185185185185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52-4249-8C37-010C6988D0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C307AB9-F17D-4915-9A3D-5B6E17B20CAF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152-4249-8C37-010C6988D0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'04_High_vs_Low_Pressure'!$A$4:$A$5</c:f>
              <c:strCache>
                <c:ptCount val="2"/>
                <c:pt idx="0">
                  <c:v>Low Pressure</c:v>
                </c:pt>
                <c:pt idx="1">
                  <c:v>High Pressure</c:v>
                </c:pt>
              </c:strCache>
            </c:strRef>
          </c:cat>
          <c:val>
            <c:numRef>
              <c:f>'04_High_vs_Low_Pressure'!$C$4:$C$5</c:f>
              <c:numCache>
                <c:formatCode>0.00%</c:formatCode>
                <c:ptCount val="2"/>
                <c:pt idx="0">
                  <c:v>2.3284313725490197E-2</c:v>
                </c:pt>
                <c:pt idx="1">
                  <c:v>0.12345679012345678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2-4249-8C37-010C6988D0C2}"/>
            </c:ext>
          </c:extLst>
        </c:ser>
        <c:ser>
          <c:idx val="2"/>
          <c:order val="2"/>
          <c:tx>
            <c:strRef>
              <c:f>'04_High_vs_Low_Pressure'!$D$2:$D$3</c:f>
              <c:strCache>
                <c:ptCount val="1"/>
                <c:pt idx="0">
                  <c:v>Penalties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152-4249-8C37-010C6988D0C2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152-4249-8C37-010C6988D0C2}"/>
              </c:ext>
            </c:extLst>
          </c:dPt>
          <c:dLbls>
            <c:dLbl>
              <c:idx val="0"/>
              <c:layout>
                <c:manualLayout>
                  <c:x val="8.3333333333333332E-3"/>
                  <c:y val="-4.16666666666666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152-4249-8C37-010C6988D0C2}"/>
                </c:ext>
              </c:extLst>
            </c:dLbl>
            <c:dLbl>
              <c:idx val="1"/>
              <c:layout>
                <c:manualLayout>
                  <c:x val="0"/>
                  <c:y val="-6.018518518518518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52-4249-8C37-010C6988D0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'04_High_vs_Low_Pressure'!$A$4:$A$5</c:f>
              <c:strCache>
                <c:ptCount val="2"/>
                <c:pt idx="0">
                  <c:v>Low Pressure</c:v>
                </c:pt>
                <c:pt idx="1">
                  <c:v>High Pressure</c:v>
                </c:pt>
              </c:strCache>
            </c:strRef>
          </c:cat>
          <c:val>
            <c:numRef>
              <c:f>'04_High_vs_Low_Pressure'!$D$4:$D$5</c:f>
              <c:numCache>
                <c:formatCode>0.00%</c:formatCode>
                <c:ptCount val="2"/>
                <c:pt idx="0">
                  <c:v>2.8186274509803922E-2</c:v>
                </c:pt>
                <c:pt idx="1">
                  <c:v>8.6419753086419748E-2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2-4249-8C37-010C6988D0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14069264"/>
        <c:axId val="2014071184"/>
      </c:barChart>
      <c:catAx>
        <c:axId val="201406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71184"/>
        <c:crosses val="autoZero"/>
        <c:auto val="1"/>
        <c:lblAlgn val="ctr"/>
        <c:lblOffset val="100"/>
        <c:noMultiLvlLbl val="0"/>
      </c:catAx>
      <c:valAx>
        <c:axId val="201407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6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516158</xdr:colOff>
      <xdr:row>2</xdr:row>
      <xdr:rowOff>52298</xdr:rowOff>
    </xdr:from>
    <xdr:to>
      <xdr:col>8</xdr:col>
      <xdr:colOff>441863</xdr:colOff>
      <xdr:row>10</xdr:row>
      <xdr:rowOff>109448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55B2D70-539B-4100-BD6E-1355943D4808}"/>
            </a:ext>
          </a:extLst>
        </xdr:cNvPr>
        <xdr:cNvSpPr/>
      </xdr:nvSpPr>
      <xdr:spPr>
        <a:xfrm>
          <a:off x="2327705" y="1231241"/>
          <a:ext cx="2944950" cy="1552396"/>
        </a:xfrm>
        <a:prstGeom prst="roundRect">
          <a:avLst/>
        </a:prstGeom>
        <a:solidFill>
          <a:srgbClr val="6B0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+60% </a:t>
          </a:r>
        </a:p>
        <a:p>
          <a:pPr algn="ctr"/>
          <a:r>
            <a:rPr lang="en-US" sz="1400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Goal Increase vs Group Stage</a:t>
          </a:r>
        </a:p>
      </xdr:txBody>
    </xdr:sp>
    <xdr:clientData/>
  </xdr:twoCellAnchor>
  <xdr:twoCellAnchor>
    <xdr:from>
      <xdr:col>9</xdr:col>
      <xdr:colOff>231223</xdr:colOff>
      <xdr:row>2</xdr:row>
      <xdr:rowOff>99239</xdr:rowOff>
    </xdr:from>
    <xdr:to>
      <xdr:col>14</xdr:col>
      <xdr:colOff>276944</xdr:colOff>
      <xdr:row>10</xdr:row>
      <xdr:rowOff>114479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BA7F856-894B-4423-A059-8CB92FE1D793}"/>
            </a:ext>
          </a:extLst>
        </xdr:cNvPr>
        <xdr:cNvSpPr/>
      </xdr:nvSpPr>
      <xdr:spPr>
        <a:xfrm>
          <a:off x="5665865" y="1278182"/>
          <a:ext cx="3064966" cy="1510486"/>
        </a:xfrm>
        <a:prstGeom prst="roundRect">
          <a:avLst/>
        </a:prstGeom>
        <a:solidFill>
          <a:srgbClr val="6B0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5.3x </a:t>
          </a:r>
        </a:p>
        <a:p>
          <a:pPr algn="ctr"/>
          <a:r>
            <a:rPr lang="en-US" sz="1400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Higher Extra-Time Likelihood in High Pressure</a:t>
          </a:r>
        </a:p>
      </xdr:txBody>
    </xdr:sp>
    <xdr:clientData/>
  </xdr:twoCellAnchor>
  <xdr:twoCellAnchor>
    <xdr:from>
      <xdr:col>16</xdr:col>
      <xdr:colOff>21954</xdr:colOff>
      <xdr:row>2</xdr:row>
      <xdr:rowOff>85220</xdr:rowOff>
    </xdr:from>
    <xdr:to>
      <xdr:col>20</xdr:col>
      <xdr:colOff>513410</xdr:colOff>
      <xdr:row>10</xdr:row>
      <xdr:rowOff>109985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01C91C3-DF72-4C0C-944B-1791C19870CE}"/>
            </a:ext>
          </a:extLst>
        </xdr:cNvPr>
        <xdr:cNvSpPr/>
      </xdr:nvSpPr>
      <xdr:spPr>
        <a:xfrm>
          <a:off x="9683539" y="1264163"/>
          <a:ext cx="2906852" cy="1520011"/>
        </a:xfrm>
        <a:prstGeom prst="roundRect">
          <a:avLst/>
        </a:prstGeom>
        <a:solidFill>
          <a:srgbClr val="6B0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35%</a:t>
          </a:r>
        </a:p>
        <a:p>
          <a:pPr algn="ctr"/>
          <a:r>
            <a:rPr lang="en-US" sz="1400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Drop in Host Advantage</a:t>
          </a:r>
        </a:p>
      </xdr:txBody>
    </xdr:sp>
    <xdr:clientData/>
  </xdr:twoCellAnchor>
  <xdr:twoCellAnchor>
    <xdr:from>
      <xdr:col>21</xdr:col>
      <xdr:colOff>311963</xdr:colOff>
      <xdr:row>2</xdr:row>
      <xdr:rowOff>76460</xdr:rowOff>
    </xdr:from>
    <xdr:to>
      <xdr:col>26</xdr:col>
      <xdr:colOff>136705</xdr:colOff>
      <xdr:row>10</xdr:row>
      <xdr:rowOff>115391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0241495-A07D-467D-9112-8EFF8EA45481}"/>
            </a:ext>
          </a:extLst>
        </xdr:cNvPr>
        <xdr:cNvSpPr/>
      </xdr:nvSpPr>
      <xdr:spPr>
        <a:xfrm>
          <a:off x="12992793" y="1255403"/>
          <a:ext cx="2843987" cy="1534177"/>
        </a:xfrm>
        <a:prstGeom prst="roundRect">
          <a:avLst/>
        </a:prstGeom>
        <a:solidFill>
          <a:srgbClr val="6B0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31% </a:t>
          </a:r>
        </a:p>
        <a:p>
          <a:pPr algn="ctr"/>
          <a:r>
            <a:rPr lang="en-US" sz="1400" b="1">
              <a:solidFill>
                <a:srgbClr val="FFD966"/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Knockout Matches Extend Beyond Normal Time</a:t>
          </a:r>
          <a:endParaRPr lang="en-US" sz="1400">
            <a:solidFill>
              <a:srgbClr val="FFD966"/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487680</xdr:colOff>
      <xdr:row>11</xdr:row>
      <xdr:rowOff>0</xdr:rowOff>
    </xdr:from>
    <xdr:to>
      <xdr:col>14</xdr:col>
      <xdr:colOff>594360</xdr:colOff>
      <xdr:row>37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A4B61F-16F3-4647-A2BD-0ADF101C0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424751</xdr:colOff>
      <xdr:row>11</xdr:row>
      <xdr:rowOff>3125</xdr:rowOff>
    </xdr:from>
    <xdr:to>
      <xdr:col>30</xdr:col>
      <xdr:colOff>45720</xdr:colOff>
      <xdr:row>37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BB9B1BB-A26D-4B1D-B55F-399EFF06F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548640</xdr:colOff>
      <xdr:row>42</xdr:row>
      <xdr:rowOff>1958</xdr:rowOff>
    </xdr:from>
    <xdr:to>
      <xdr:col>14</xdr:col>
      <xdr:colOff>474213</xdr:colOff>
      <xdr:row>66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BAF017A-978B-4129-B751-0A0FA120C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319612</xdr:colOff>
      <xdr:row>42</xdr:row>
      <xdr:rowOff>9864</xdr:rowOff>
    </xdr:from>
    <xdr:to>
      <xdr:col>30</xdr:col>
      <xdr:colOff>15239</xdr:colOff>
      <xdr:row>66</xdr:row>
      <xdr:rowOff>106679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59776B6-66FB-46BF-8445-2D6A02DF3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557240</xdr:colOff>
      <xdr:row>0</xdr:row>
      <xdr:rowOff>117231</xdr:rowOff>
    </xdr:from>
    <xdr:to>
      <xdr:col>30</xdr:col>
      <xdr:colOff>95943</xdr:colOff>
      <xdr:row>3</xdr:row>
      <xdr:rowOff>84090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AFCB722-4E8E-F0F9-8CA6-596F5C2A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prstClr val="black"/>
            <a:srgbClr val="D9C3A5">
              <a:tint val="50000"/>
              <a:satMod val="180000"/>
            </a:srgbClr>
          </a:duoton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7218" b="89988" l="10000" r="90000">
                      <a14:foregroundMark x1="14643" y1="79627" x2="14643" y2="79627"/>
                      <a14:foregroundMark x1="20833" y1="79627" x2="20833" y2="79627"/>
                      <a14:foregroundMark x1="24524" y1="78929" x2="25476" y2="78929"/>
                      <a14:foregroundMark x1="27976" y1="78929" x2="27976" y2="78929"/>
                      <a14:foregroundMark x1="23929" y1="89523" x2="23929" y2="89523"/>
                      <a14:foregroundMark x1="31667" y1="89523" x2="31667" y2="89523"/>
                      <a14:foregroundMark x1="35714" y1="87194" x2="35714" y2="87194"/>
                      <a14:foregroundMark x1="53452" y1="89523" x2="53452" y2="89523"/>
                      <a14:foregroundMark x1="62738" y1="85565" x2="62738" y2="85565"/>
                      <a14:foregroundMark x1="66429" y1="86263" x2="66429" y2="86263"/>
                      <a14:foregroundMark x1="75833" y1="86263" x2="77381" y2="86845"/>
                      <a14:foregroundMark x1="82024" y1="85565" x2="82024" y2="85565"/>
                      <a14:foregroundMark x1="88214" y1="76368" x2="88214" y2="76368"/>
                      <a14:foregroundMark x1="82976" y1="78696" x2="82976" y2="78696"/>
                      <a14:foregroundMark x1="74524" y1="81257" x2="74524" y2="81257"/>
                      <a14:foregroundMark x1="64286" y1="76368" x2="64286" y2="76368"/>
                      <a14:foregroundMark x1="59643" y1="78696" x2="59643" y2="78696"/>
                      <a14:foregroundMark x1="36310" y1="80326" x2="36310" y2="80326"/>
                      <a14:foregroundMark x1="48095" y1="79627" x2="48095" y2="79627"/>
                      <a14:foregroundMark x1="56548" y1="79627" x2="56548" y2="79627"/>
                      <a14:foregroundMark x1="60238" y1="79627" x2="60238" y2="79627"/>
                      <a14:foregroundMark x1="49405" y1="9895" x2="49405" y2="9895"/>
                      <a14:foregroundMark x1="54405" y1="7218" x2="54405" y2="721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4702" y="117231"/>
          <a:ext cx="1385087" cy="131501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2</xdr:col>
      <xdr:colOff>66951</xdr:colOff>
      <xdr:row>38</xdr:row>
      <xdr:rowOff>78692</xdr:rowOff>
    </xdr:from>
    <xdr:to>
      <xdr:col>13</xdr:col>
      <xdr:colOff>188200</xdr:colOff>
      <xdr:row>42</xdr:row>
      <xdr:rowOff>65992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225C92-0067-1C83-D312-60B9F24E09FE}"/>
            </a:ext>
          </a:extLst>
        </xdr:cNvPr>
        <xdr:cNvSpPr txBox="1"/>
      </xdr:nvSpPr>
      <xdr:spPr>
        <a:xfrm>
          <a:off x="1286151" y="7835852"/>
          <a:ext cx="6826849" cy="718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Highest</a:t>
          </a:r>
          <a:r>
            <a:rPr lang="en-US" sz="1800" i="1" baseline="0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 average</a:t>
          </a:r>
          <a:r>
            <a:rPr lang="en-US" sz="1800" i="1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 goals are found</a:t>
          </a:r>
          <a:r>
            <a:rPr lang="en-US" sz="1800" i="1" baseline="0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 in final round</a:t>
          </a:r>
          <a:r>
            <a:rPr lang="en-US" sz="1800" i="1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 which</a:t>
          </a:r>
          <a:r>
            <a:rPr lang="en-US" sz="1800" i="1" baseline="0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 is </a:t>
          </a:r>
          <a:r>
            <a:rPr lang="en-US" sz="1800" i="1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60% higher than group stages</a:t>
          </a:r>
        </a:p>
        <a:p>
          <a:pPr algn="ctr"/>
          <a:r>
            <a:rPr lang="en-US" sz="1800" i="1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16</xdr:col>
      <xdr:colOff>139700</xdr:colOff>
      <xdr:row>38</xdr:row>
      <xdr:rowOff>91440</xdr:rowOff>
    </xdr:from>
    <xdr:to>
      <xdr:col>27</xdr:col>
      <xdr:colOff>469900</xdr:colOff>
      <xdr:row>43</xdr:row>
      <xdr:rowOff>159013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05E4C5-12BF-4EDD-8FC6-0C476D0F6623}"/>
            </a:ext>
          </a:extLst>
        </xdr:cNvPr>
        <xdr:cNvSpPr txBox="1"/>
      </xdr:nvSpPr>
      <xdr:spPr>
        <a:xfrm>
          <a:off x="9893300" y="7848600"/>
          <a:ext cx="7035800" cy="9819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 baseline="0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The win method is majorly normal across the cup, penalties and extra-time began to appear in round 16</a:t>
          </a:r>
        </a:p>
        <a:p>
          <a:pPr algn="ctr"/>
          <a:endParaRPr lang="en-US" sz="1800" i="1">
            <a:solidFill>
              <a:srgbClr val="8A1538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222274</xdr:colOff>
      <xdr:row>67</xdr:row>
      <xdr:rowOff>96327</xdr:rowOff>
    </xdr:from>
    <xdr:to>
      <xdr:col>13</xdr:col>
      <xdr:colOff>349274</xdr:colOff>
      <xdr:row>72</xdr:row>
      <xdr:rowOff>181202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90B2B4-C4E7-4C35-9A23-8FFFBA69B2C2}"/>
            </a:ext>
          </a:extLst>
        </xdr:cNvPr>
        <xdr:cNvSpPr txBox="1"/>
      </xdr:nvSpPr>
      <xdr:spPr>
        <a:xfrm>
          <a:off x="1441474" y="13157007"/>
          <a:ext cx="6832600" cy="999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The host advantage is not </a:t>
          </a:r>
          <a:r>
            <a:rPr lang="en-US" sz="1800" i="1" baseline="0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dominant across the league but has increased in final round to 50% and then went low in final to 35%</a:t>
          </a:r>
          <a:endParaRPr lang="en-US" sz="1800" i="1">
            <a:solidFill>
              <a:srgbClr val="8A1538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16</xdr:col>
      <xdr:colOff>443925</xdr:colOff>
      <xdr:row>67</xdr:row>
      <xdr:rowOff>20127</xdr:rowOff>
    </xdr:from>
    <xdr:to>
      <xdr:col>27</xdr:col>
      <xdr:colOff>576676</xdr:colOff>
      <xdr:row>74</xdr:row>
      <xdr:rowOff>54202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CC0692-BA57-467E-A49B-485CD6B32E9F}"/>
            </a:ext>
          </a:extLst>
        </xdr:cNvPr>
        <xdr:cNvSpPr txBox="1"/>
      </xdr:nvSpPr>
      <xdr:spPr>
        <a:xfrm>
          <a:off x="10197525" y="13080807"/>
          <a:ext cx="6838351" cy="1314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i="1" baseline="0">
              <a:solidFill>
                <a:srgbClr val="8A1538"/>
              </a:solidFill>
              <a:latin typeface="Arial" panose="020B0604020202020204" pitchFamily="34" charset="0"/>
              <a:cs typeface="Arial" panose="020B0604020202020204" pitchFamily="34" charset="0"/>
            </a:rPr>
            <a:t>The high pressure matches have evidently improved the win conditions through extra-time and penalties, this explains that pressure makes the game intense </a:t>
          </a:r>
          <a:endParaRPr lang="en-US" sz="1800" i="1">
            <a:solidFill>
              <a:srgbClr val="8A1538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1</xdr:row>
      <xdr:rowOff>79374</xdr:rowOff>
    </xdr:from>
    <xdr:to>
      <xdr:col>14</xdr:col>
      <xdr:colOff>312420</xdr:colOff>
      <xdr:row>19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CCF13C-8BF9-8542-9182-B75F14327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385182</xdr:colOff>
      <xdr:row>0</xdr:row>
      <xdr:rowOff>176770</xdr:rowOff>
    </xdr:from>
    <xdr:to>
      <xdr:col>15</xdr:col>
      <xdr:colOff>89907</xdr:colOff>
      <xdr:row>22</xdr:row>
      <xdr:rowOff>56755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E84ED-AA87-8E8E-8E65-6AA35AF2E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7620</xdr:rowOff>
    </xdr:from>
    <xdr:to>
      <xdr:col>11</xdr:col>
      <xdr:colOff>228600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8D8544-096A-EDEF-DD7B-8DA741AB5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7620</xdr:rowOff>
    </xdr:from>
    <xdr:to>
      <xdr:col>12</xdr:col>
      <xdr:colOff>114300</xdr:colOff>
      <xdr:row>21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09D31-DBCD-F1A9-085A-33247F91F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1273151" backgroundQuery="1" createdVersion="8" refreshedVersion="8" minRefreshableVersion="3" recordCount="0" supportSubquery="1" supportAdvancedDrill="1" xr:uid="{4ED3DCBD-09FD-4D36-A68F-1F91D5BDC0E3}">
  <cacheSource type="external" connectionId="9"/>
  <cacheFields count="3">
    <cacheField name="[world_cup_matches9].[Stage_Group].[Stage_Group]" caption="Stage_Group" numFmtId="0" hierarchy="5" level="1">
      <sharedItems count="2">
        <s v="High Pressure"/>
        <s v="Low Pressure"/>
      </sharedItems>
    </cacheField>
    <cacheField name="[world_cup_matches9].[Win_Type].[Win_Type]" caption="Win_Type" numFmtId="0" hierarchy="12" level="1">
      <sharedItems count="4">
        <s v="Extra time"/>
        <s v="Normal"/>
        <s v="Penalties"/>
        <s v="Golden goal" u="1"/>
      </sharedItems>
    </cacheField>
    <cacheField name="[Measures].[Count of ID]" caption="Count of ID" numFmtId="0" hierarchy="18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0" memberValueDatatype="130" unbalanced="0"/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2" memberValueDatatype="130" unbalanced="0">
      <fieldsUsage count="2">
        <fieldUsage x="-1"/>
        <fieldUsage x="1"/>
      </fieldsUsage>
    </cacheHierarchy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0" memberValueDatatype="130" unbalanced="0"/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2199074" backgroundQuery="1" createdVersion="8" refreshedVersion="8" minRefreshableVersion="3" recordCount="0" supportSubquery="1" supportAdvancedDrill="1" xr:uid="{5551CA18-DA18-48AD-8033-B31F7A87D422}">
  <cacheSource type="external" connectionId="9"/>
  <cacheFields count="3">
    <cacheField name="[world_cup_matches9].[Stage].[Stage]" caption="Stage" numFmtId="0" hierarchy="4" level="1">
      <sharedItems count="10">
        <s v="Final"/>
        <s v="Final round"/>
        <s v="First group stage"/>
        <s v="First round"/>
        <s v="Group stage"/>
        <s v="Quarter-finals"/>
        <s v="Round of 16"/>
        <s v="Second group stage"/>
        <s v="Semi-finals"/>
        <s v="Third place"/>
      </sharedItems>
    </cacheField>
    <cacheField name="[world_cup_matches9].[Host_Status].[Host_Status]" caption="Host_Status" numFmtId="0" hierarchy="13" level="1">
      <sharedItems count="2">
        <s v="Host"/>
        <s v="Non-Host"/>
      </sharedItems>
    </cacheField>
    <cacheField name="[Measures].[Count of ID]" caption="Count of ID" numFmtId="0" hierarchy="18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0" memberValueDatatype="130" unbalanced="0"/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0" memberValueDatatype="130" unbalanced="0"/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2" memberValueDatatype="130" unbalanced="0">
      <fieldsUsage count="2">
        <fieldUsage x="-1"/>
        <fieldUsage x="1"/>
      </fieldsUsage>
    </cacheHierarchy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3124998" backgroundQuery="1" createdVersion="8" refreshedVersion="8" minRefreshableVersion="3" recordCount="0" supportSubquery="1" supportAdvancedDrill="1" xr:uid="{5CCEE4B0-268B-4293-97A4-574170798F16}">
  <cacheSource type="external" connectionId="9"/>
  <cacheFields count="3">
    <cacheField name="[world_cup_matches9].[Stage].[Stage]" caption="Stage" numFmtId="0" hierarchy="4" level="1">
      <sharedItems count="10">
        <s v="Final"/>
        <s v="Final round"/>
        <s v="First group stage"/>
        <s v="First round"/>
        <s v="Group stage"/>
        <s v="Quarter-finals"/>
        <s v="Round of 16"/>
        <s v="Second group stage"/>
        <s v="Semi-finals"/>
        <s v="Third place"/>
      </sharedItems>
    </cacheField>
    <cacheField name="[world_cup_matches9].[Win_Type].[Win_Type]" caption="Win_Type" numFmtId="0" hierarchy="12" level="1">
      <sharedItems count="4">
        <s v="Extra time"/>
        <s v="Golden goal"/>
        <s v="Normal"/>
        <s v="Penalties"/>
      </sharedItems>
    </cacheField>
    <cacheField name="[Measures].[Count of Win_Type]" caption="Count of Win_Type" numFmtId="0" hierarchy="19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0" memberValueDatatype="130" unbalanced="0"/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2" memberValueDatatype="130" unbalanced="0">
      <fieldsUsage count="2">
        <fieldUsage x="-1"/>
        <fieldUsage x="1"/>
      </fieldsUsage>
    </cacheHierarchy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0" memberValueDatatype="130" unbalanced="0"/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4050929" backgroundQuery="1" createdVersion="8" refreshedVersion="8" minRefreshableVersion="3" recordCount="0" supportSubquery="1" supportAdvancedDrill="1" xr:uid="{F963DDC2-3C82-4823-B540-68E01228205B}">
  <cacheSource type="external" connectionId="9"/>
  <cacheFields count="2">
    <cacheField name="[world_cup_matches9].[Stage].[Stage]" caption="Stage" numFmtId="0" hierarchy="4" level="1">
      <sharedItems count="10">
        <s v="Final"/>
        <s v="Final round"/>
        <s v="First group stage"/>
        <s v="First round"/>
        <s v="Group stage"/>
        <s v="Quarter-finals"/>
        <s v="Round of 16"/>
        <s v="Second group stage"/>
        <s v="Semi-finals"/>
        <s v="Third place"/>
      </sharedItems>
    </cacheField>
    <cacheField name="[Measures].[Average of Goals]" caption="Average of Goals" numFmtId="0" hierarchy="23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0" memberValueDatatype="130" unbalanced="0"/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0" memberValueDatatype="130" unbalanced="0"/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0" memberValueDatatype="130" unbalanced="0"/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4976853" backgroundQuery="1" createdVersion="8" refreshedVersion="8" minRefreshableVersion="3" recordCount="0" supportSubquery="1" supportAdvancedDrill="1" xr:uid="{DF4386BD-C71E-4019-8BC4-93E754E6CE3B}">
  <cacheSource type="external" connectionId="9"/>
  <cacheFields count="3">
    <cacheField name="[world_cup_matches9].[Stage].[Stage]" caption="Stage" numFmtId="0" hierarchy="4" level="1">
      <sharedItems count="10">
        <s v="Final"/>
        <s v="Final round"/>
        <s v="First group stage"/>
        <s v="First round"/>
        <s v="Group stage"/>
        <s v="Quarter-finals"/>
        <s v="Round of 16"/>
        <s v="Second group stage"/>
        <s v="Semi-finals"/>
        <s v="Third place"/>
      </sharedItems>
    </cacheField>
    <cacheField name="[world_cup_matches9].[Host_Status].[Host_Status]" caption="Host_Status" numFmtId="0" hierarchy="13" level="1">
      <sharedItems count="2">
        <s v="Host"/>
        <s v="Non-Host"/>
      </sharedItems>
    </cacheField>
    <cacheField name="[Measures].[Count of ID]" caption="Count of ID" numFmtId="0" hierarchy="18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0" memberValueDatatype="130" unbalanced="0"/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0" memberValueDatatype="130" unbalanced="0"/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2" memberValueDatatype="130" unbalanced="0">
      <fieldsUsage count="2">
        <fieldUsage x="-1"/>
        <fieldUsage x="1"/>
      </fieldsUsage>
    </cacheHierarchy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5787038" backgroundQuery="1" createdVersion="8" refreshedVersion="8" minRefreshableVersion="3" recordCount="0" supportSubquery="1" supportAdvancedDrill="1" xr:uid="{72A492DF-5FB7-4E32-BFCD-C737ED7D3B51}">
  <cacheSource type="external" connectionId="9"/>
  <cacheFields count="3">
    <cacheField name="[world_cup_matches9].[Stage_Group].[Stage_Group]" caption="Stage_Group" numFmtId="0" hierarchy="5" level="1">
      <sharedItems count="2">
        <s v="High Pressure"/>
        <s v="Low Pressure"/>
      </sharedItems>
    </cacheField>
    <cacheField name="[world_cup_matches9].[Win_Type].[Win_Type]" caption="Win_Type" numFmtId="0" hierarchy="12" level="1">
      <sharedItems count="4">
        <s v="Extra time"/>
        <s v="Golden goal"/>
        <s v="Normal"/>
        <s v="Penalties"/>
      </sharedItems>
    </cacheField>
    <cacheField name="[Measures].[Count of ID]" caption="Count of ID" numFmtId="0" hierarchy="18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0" memberValueDatatype="130" unbalanced="0"/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2" memberValueDatatype="130" unbalanced="0">
      <fieldsUsage count="2">
        <fieldUsage x="-1"/>
        <fieldUsage x="1"/>
      </fieldsUsage>
    </cacheHierarchy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0" memberValueDatatype="130" unbalanced="0"/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6712962" backgroundQuery="1" createdVersion="8" refreshedVersion="8" minRefreshableVersion="3" recordCount="0" supportSubquery="1" supportAdvancedDrill="1" xr:uid="{3E42BCFA-A5CE-4720-80A1-36C217E485F4}">
  <cacheSource type="external" connectionId="9"/>
  <cacheFields count="3">
    <cacheField name="[world_cup_matches9].[Stage].[Stage]" caption="Stage" numFmtId="0" hierarchy="4" level="1">
      <sharedItems count="10">
        <s v="Final"/>
        <s v="Final round"/>
        <s v="First group stage"/>
        <s v="First round"/>
        <s v="Group stage"/>
        <s v="Quarter-finals"/>
        <s v="Round of 16"/>
        <s v="Second group stage"/>
        <s v="Semi-finals"/>
        <s v="Third place"/>
      </sharedItems>
    </cacheField>
    <cacheField name="[Measures].[Min of StageOrder]" caption="Min of StageOrder" numFmtId="0" hierarchy="21" level="32767"/>
    <cacheField name="[Measures].[Sum of Goals]" caption="Sum of Goals" numFmtId="0" hierarchy="22" level="32767"/>
  </cacheFields>
  <cacheHierarchies count="24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0" memberValueDatatype="130" unbalanced="0"/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0" memberValueDatatype="130" unbalanced="0"/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0" memberValueDatatype="130" unbalanced="0"/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shal penchala" refreshedDate="46079.465307638886" backgroundQuery="1" createdVersion="8" refreshedVersion="8" minRefreshableVersion="3" recordCount="0" supportSubquery="1" supportAdvancedDrill="1" xr:uid="{5871F60E-5783-44BA-A817-7A9A9313575E}">
  <cacheSource type="external" connectionId="9"/>
  <cacheFields count="4">
    <cacheField name="[world_cup_matches9].[Stage].[Stage]" caption="Stage" numFmtId="0" hierarchy="4" level="1">
      <sharedItems count="10">
        <s v="Final"/>
        <s v="Final round"/>
        <s v="First group stage"/>
        <s v="First round"/>
        <s v="Group stage"/>
        <s v="Quarter-finals"/>
        <s v="Round of 16"/>
        <s v="Second group stage"/>
        <s v="Semi-finals"/>
        <s v="Third place"/>
      </sharedItems>
    </cacheField>
    <cacheField name="[world_cup_matches9].[Win_Type].[Win_Type]" caption="Win_Type" numFmtId="0" hierarchy="12" level="1">
      <sharedItems count="4">
        <s v="Extra time"/>
        <s v="Golden goal"/>
        <s v="Normal"/>
        <s v="Penalties"/>
      </sharedItems>
    </cacheField>
    <cacheField name="[Measures].[Count of Win_Type]" caption="Count of Win_Type" numFmtId="0" hierarchy="19" level="32767"/>
    <cacheField name="Dummy0" numFmtId="0" hierarchy="2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">
    <cacheHierarchy uniqueName="[world_cup_matches9].[ID]" caption="ID" attribute="1" defaultMemberUniqueName="[world_cup_matches9].[ID].[All]" allUniqueName="[world_cup_matches9].[ID].[All]" dimensionUniqueName="[world_cup_matches9]" displayFolder="" count="0" memberValueDatatype="20" unbalanced="0"/>
    <cacheHierarchy uniqueName="[world_cup_matches9].[Year]" caption="Year" attribute="1" defaultMemberUniqueName="[world_cup_matches9].[Year].[All]" allUniqueName="[world_cup_matches9].[Year].[All]" dimensionUniqueName="[world_cup_matches9]" displayFolder="" count="0" memberValueDatatype="20" unbalanced="0"/>
    <cacheHierarchy uniqueName="[world_cup_matches9].[Date]" caption="Date" attribute="1" time="1" defaultMemberUniqueName="[world_cup_matches9].[Date].[All]" allUniqueName="[world_cup_matches9].[Date].[All]" dimensionUniqueName="[world_cup_matches9]" displayFolder="" count="0" memberValueDatatype="7" unbalanced="0"/>
    <cacheHierarchy uniqueName="[world_cup_matches9].[StageOrder]" caption="StageOrder" attribute="1" defaultMemberUniqueName="[world_cup_matches9].[StageOrder].[All]" allUniqueName="[world_cup_matches9].[StageOrder].[All]" dimensionUniqueName="[world_cup_matches9]" displayFolder="" count="0" memberValueDatatype="20" unbalanced="0"/>
    <cacheHierarchy uniqueName="[world_cup_matches9].[Stage]" caption="Stage" attribute="1" defaultMemberUniqueName="[world_cup_matches9].[Stage].[All]" allUniqueName="[world_cup_matches9].[Stage].[All]" dimensionUniqueName="[world_cup_matches9]" displayFolder="" count="2" memberValueDatatype="130" unbalanced="0">
      <fieldsUsage count="2">
        <fieldUsage x="-1"/>
        <fieldUsage x="0"/>
      </fieldsUsage>
    </cacheHierarchy>
    <cacheHierarchy uniqueName="[world_cup_matches9].[Stage_Group]" caption="Stage_Group" attribute="1" defaultMemberUniqueName="[world_cup_matches9].[Stage_Group].[All]" allUniqueName="[world_cup_matches9].[Stage_Group].[All]" dimensionUniqueName="[world_cup_matches9]" displayFolder="" count="0" memberValueDatatype="130" unbalanced="0"/>
    <cacheHierarchy uniqueName="[world_cup_matches9].[Home Team]" caption="Home Team" attribute="1" defaultMemberUniqueName="[world_cup_matches9].[Home Team].[All]" allUniqueName="[world_cup_matches9].[Home Team].[All]" dimensionUniqueName="[world_cup_matches9]" displayFolder="" count="0" memberValueDatatype="130" unbalanced="0"/>
    <cacheHierarchy uniqueName="[world_cup_matches9].[Home Goals]" caption="Home Goals" attribute="1" defaultMemberUniqueName="[world_cup_matches9].[Home Goals].[All]" allUniqueName="[world_cup_matches9].[Home Goals].[All]" dimensionUniqueName="[world_cup_matches9]" displayFolder="" count="0" memberValueDatatype="20" unbalanced="0"/>
    <cacheHierarchy uniqueName="[world_cup_matches9].[Away Goals]" caption="Away Goals" attribute="1" defaultMemberUniqueName="[world_cup_matches9].[Away Goals].[All]" allUniqueName="[world_cup_matches9].[Away Goals].[All]" dimensionUniqueName="[world_cup_matches9]" displayFolder="" count="0" memberValueDatatype="20" unbalanced="0"/>
    <cacheHierarchy uniqueName="[world_cup_matches9].[Away Team]" caption="Away Team" attribute="1" defaultMemberUniqueName="[world_cup_matches9].[Away Team].[All]" allUniqueName="[world_cup_matches9].[Away Team].[All]" dimensionUniqueName="[world_cup_matches9]" displayFolder="" count="0" memberValueDatatype="130" unbalanced="0"/>
    <cacheHierarchy uniqueName="[world_cup_matches9].[Goals]" caption="Goals" attribute="1" defaultMemberUniqueName="[world_cup_matches9].[Goals].[All]" allUniqueName="[world_cup_matches9].[Goals].[All]" dimensionUniqueName="[world_cup_matches9]" displayFolder="" count="0" memberValueDatatype="20" unbalanced="0"/>
    <cacheHierarchy uniqueName="[world_cup_matches9].[Win Conditions]" caption="Win Conditions" attribute="1" defaultMemberUniqueName="[world_cup_matches9].[Win Conditions].[All]" allUniqueName="[world_cup_matches9].[Win Conditions].[All]" dimensionUniqueName="[world_cup_matches9]" displayFolder="" count="0" memberValueDatatype="130" unbalanced="0"/>
    <cacheHierarchy uniqueName="[world_cup_matches9].[Win_Type]" caption="Win_Type" attribute="1" defaultMemberUniqueName="[world_cup_matches9].[Win_Type].[All]" allUniqueName="[world_cup_matches9].[Win_Type].[All]" dimensionUniqueName="[world_cup_matches9]" displayFolder="" count="2" memberValueDatatype="130" unbalanced="0">
      <fieldsUsage count="2">
        <fieldUsage x="-1"/>
        <fieldUsage x="1"/>
      </fieldsUsage>
    </cacheHierarchy>
    <cacheHierarchy uniqueName="[world_cup_matches9].[Host_Status]" caption="Host_Status" attribute="1" defaultMemberUniqueName="[world_cup_matches9].[Host_Status].[All]" allUniqueName="[world_cup_matches9].[Host_Status].[All]" dimensionUniqueName="[world_cup_matches9]" displayFolder="" count="0" memberValueDatatype="130" unbalanced="0"/>
    <cacheHierarchy uniqueName="[Measures].[__XL_Count world_cup_matches9]" caption="__XL_Count world_cup_matches9" measure="1" displayFolder="" measureGroup="world_cup_matches9" count="0" hidden="1"/>
    <cacheHierarchy uniqueName="[Measures].[__No measures defined]" caption="__No measures defined" measure="1" displayFolder="" count="0" hidden="1"/>
    <cacheHierarchy uniqueName="[Measures].[Count of Win Conditions]" caption="Count of Win Condition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ID]" caption="Sum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ID]" caption="Count of ID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Win_Type]" caption="Count of Win_Type" measure="1" displayFolder="" measureGroup="world_cup_matches9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tageOrder]" caption="Sum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StageOrder]" caption="Min of StageOrder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oals]" caption="Sum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Goals]" caption="Average of Goals" measure="1" displayFolder="" measureGroup="world_cup_matches9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Dummy0" caption="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world_cup_matches9" uniqueName="[world_cup_matches9]" caption="world_cup_matches9"/>
  </dimensions>
  <measureGroups count="1">
    <measureGroup name="world_cup_matches9" caption="world_cup_matches9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C136B-0308-4A9C-B6F9-DCABE9AB184E}" name="PivotTable4" cacheId="38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A19:C30" firstHeaderRow="1" firstDataRow="2" firstDataCol="1"/>
  <pivotFields count="3">
    <pivotField axis="axisRow" allDrilled="1" subtotalTop="0" showAll="0" sortType="ascending" defaultSubtotal="0" defaultAttributeDrillState="1">
      <items count="10">
        <item x="2"/>
        <item x="4"/>
        <item x="7"/>
        <item x="3"/>
        <item x="6"/>
        <item x="5"/>
        <item x="8"/>
        <item x="9"/>
        <item x="1"/>
        <item x="0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2">
    <i>
      <x/>
    </i>
    <i>
      <x v="1"/>
    </i>
  </colItems>
  <dataFields count="1">
    <dataField name="Count of ID2" fld="2" subtotal="count" showDataAs="percentOfRow" baseField="0" baseItem="0" numFmtId="10"/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"/>
    <pivotHierarchy dragToData="1" caption="Count of ID2"/>
    <pivotHierarchy dragToData="1"/>
    <pivotHierarchy dragToData="1"/>
    <pivotHierarchy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7C4C5-2FE7-4C30-B34C-791DCB842ED2}" name="PivotTable3" cacheId="4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>
  <location ref="E3:M15" firstHeaderRow="1" firstDataRow="3" firstDataCol="1"/>
  <pivotFields count="4">
    <pivotField axis="axisRow" allDrilled="1" subtotalTop="0" showAll="0" sortType="ascending" defaultSubtotal="0" defaultAttributeDrillState="1">
      <items count="10">
        <item x="2"/>
        <item x="4"/>
        <item x="7"/>
        <item x="3"/>
        <item x="6"/>
        <item x="5"/>
        <item x="8"/>
        <item x="9"/>
        <item x="1"/>
        <item x="0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Match Count" fld="2" subtotal="count" baseField="0" baseItem="0"/>
    <dataField name="% of Matches" fld="3" subtotal="count" showDataAs="percentOfRow" baseField="0" baseItem="0" numFmtId="10">
      <extLst>
        <ext xmlns:x14="http://schemas.microsoft.com/office/spreadsheetml/2009/9/main" uri="{E15A36E0-9728-4e99-A89B-3F7291B0FE68}">
          <x14:dataField sourceField="2" uniqueName="[__Xl2].[Measures].[Count of Win_Type]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ID"/>
    <pivotHierarchy dragToData="1" caption="% of Matches"/>
    <pivotHierarchy dragToData="1"/>
    <pivotHierarchy dragToData="1"/>
    <pivotHierarchy dragToRow="0" dragToCol="0" dragToPage="0"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2">
    <colHierarchyUsage hierarchyUsage="1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644483-1FBF-4A70-9221-D1773B9583C7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GES">
  <location ref="A3:C14" firstHeaderRow="0" firstDataRow="1" firstDataCol="1"/>
  <pivotFields count="3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StageOrder" fld="1" subtotal="min" baseField="0" baseItem="0"/>
    <dataField name="Sum of Goals" fld="2" baseField="0" baseItem="0"/>
  </dataFields>
  <formats count="1">
    <format dxfId="11">
      <pivotArea outline="0" collapsedLevelsAreSubtotals="1" fieldPosition="0"/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in of StageOrder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A5FCA-A3FD-4B56-884F-A9E38D8D4BBE}" name="PivotTable5" cacheId="4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9:L22" firstHeaderRow="1" firstDataRow="2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Count of ID" fld="2" subtotal="count" showDataAs="percentOfRow" baseField="0" baseItem="0" numFmtId="10"/>
  </dataFields>
  <formats count="2">
    <format dxfId="13">
      <pivotArea outline="0" collapsedLevelsAreSubtotals="1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99B4C-D487-46D1-824B-E00E1898B5A3}" name="PivotTable7" cacheId="35" applyNumberFormats="0" applyBorderFormats="0" applyFontFormats="0" applyPatternFormats="0" applyAlignmentFormats="0" applyWidthHeightFormats="1" dataCaption="Values" updatedVersion="8" minRefreshableVersion="3" showDrill="0" useAutoFormatting="1" subtotalHiddenItems="1" rowGrandTotals="0" colGrandTotals="0" itemPrintTitles="1" createdVersion="8" indent="0" compact="0" compactData="0" multipleFieldFilters="0" chartFormat="27" rowHeaderCaption="STAGES">
  <location ref="A2:B12" firstHeaderRow="1" firstDataRow="1" firstDataCol="1"/>
  <pivotFields count="2">
    <pivotField axis="axisRow" compact="0" allDrilled="1" outline="0" subtotalTop="0" showAll="0" sortType="ascending" defaultSubtotal="0" defaultAttributeDrillState="1">
      <items count="10">
        <item x="2"/>
        <item x="4"/>
        <item x="7"/>
        <item x="3"/>
        <item x="6"/>
        <item x="5"/>
        <item x="8"/>
        <item x="9"/>
        <item x="1"/>
        <item x="0"/>
      </items>
    </pivotField>
    <pivotField dataField="1" compact="0" outline="0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Average of Goals" fld="1" subtotal="average" baseField="0" baseItem="0"/>
  </dataFields>
  <formats count="1">
    <format dxfId="10">
      <pivotArea outline="0" collapsedLevelsAreSubtotals="1" fieldPosition="0"/>
    </format>
  </format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Min of StageOrder"/>
    <pivotHierarchy dragToRow="0" dragToCol="0" dragToPage="0" dragToData="1"/>
    <pivotHierarchy dragToData="1" caption="Average of Goals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B8525-5042-451F-942E-334F682EB926}" name="PivotTable8" cacheId="32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chartFormat="16">
  <location ref="A2:E13" firstHeaderRow="1" firstDataRow="2" firstDataCol="1"/>
  <pivotFields count="3">
    <pivotField axis="axisRow" compact="0" allDrilled="1" outline="0" subtotalTop="0" showAll="0" sortType="ascending" defaultSubtotal="0" defaultAttributeDrillState="1">
      <items count="10">
        <item x="2"/>
        <item x="4"/>
        <item x="7"/>
        <item x="3"/>
        <item x="6"/>
        <item x="5"/>
        <item x="8"/>
        <item x="9"/>
        <item x="1"/>
        <item x="0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% of Matches" fld="2" subtotal="count" showDataAs="percentOfRow" baseField="0" baseItem="0" numFmtId="10"/>
  </dataFields>
  <chartFormats count="8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ID"/>
    <pivotHierarchy dragToData="1" caption="% of Matches"/>
    <pivotHierarchy dragToData="1"/>
    <pivotHierarchy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A812C-4F88-4959-8B2D-A184B19EEAD6}" name="PivotTable2" cacheId="29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compact="0" compactData="0" multipleFieldFilters="0" chartFormat="4">
  <location ref="A2:C13" firstHeaderRow="1" firstDataRow="2" firstDataCol="1"/>
  <pivotFields count="3">
    <pivotField axis="axisRow" compact="0" allDrilled="1" outline="0" showAll="0" sortType="ascending" defaultSubtotal="0" defaultAttributeDrillState="1">
      <items count="10">
        <item x="2"/>
        <item x="4"/>
        <item x="7"/>
        <item x="3"/>
        <item x="6"/>
        <item x="5"/>
        <item x="8"/>
        <item x="9"/>
        <item x="1"/>
        <item x="0"/>
      </items>
    </pivotField>
    <pivotField axis="axisCol" compact="0" allDrilled="1" outline="0" showAll="0" dataSourceSort="1" defaultSubtotal="0" defaultAttributeDrillState="1">
      <items count="2">
        <item x="0"/>
        <item x="1"/>
      </items>
    </pivotField>
    <pivotField dataField="1" compact="0" outlin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2">
    <i>
      <x/>
    </i>
    <i>
      <x v="1"/>
    </i>
  </colItems>
  <dataFields count="1">
    <dataField name="Count of ID2" fld="2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%"/>
    <pivotHierarchy dragToData="1" caption="Count of ID2"/>
    <pivotHierarchy dragToData="1"/>
    <pivotHierarchy dragToData="1"/>
    <pivotHierarchy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22C5C-4CA2-450F-A2A4-3BAA52A3FAD0}" name="PivotTable1" cacheId="2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5">
  <location ref="A2:D5" firstHeaderRow="1" firstDataRow="2" firstDataCol="1"/>
  <pivotFields count="3">
    <pivotField axis="axisRow" allDrilled="1" subtotalTop="0" showAll="0" defaultSubtotal="0" defaultAttributeDrillState="1">
      <items count="2">
        <item x="1"/>
        <item x="0"/>
      </items>
    </pivotField>
    <pivotField axis="axisCol" allDrilled="1" subtotalTop="0" showAll="0" defaultSubtotal="0" defaultAttributeDrillState="1">
      <items count="4">
        <item s="1" x="1"/>
        <item s="1" x="0"/>
        <item s="1" x="2"/>
        <item x="3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Fields count="1">
    <field x="1"/>
  </colFields>
  <colItems count="3">
    <i>
      <x/>
    </i>
    <i>
      <x v="1"/>
    </i>
    <i>
      <x v="2"/>
    </i>
  </colItems>
  <dataFields count="1">
    <dataField name="Count of ID" fld="2" subtotal="count" showDataAs="percentOfRow" baseField="0" baseItem="0" numFmtId="10"/>
  </dataFields>
  <formats count="2">
    <format dxfId="9">
      <pivotArea outline="0" collapsedLevelsAreSubtotals="1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4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4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ID"/>
    <pivotHierarchy dragToData="1"/>
    <pivotHierarchy dragToData="1"/>
    <pivotHierarchy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World_Cup_Storytelling_Dashboard.xlsx!world_cup_matches9">
        <x15:activeTabTopLevelEntity name="[world_cup_matches9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CF8D37AB-186E-4EC4-B137-370008E7A411}" autoFormatId="16" applyNumberFormats="0" applyBorderFormats="0" applyFontFormats="0" applyPatternFormats="0" applyAlignmentFormats="0" applyWidthHeightFormats="0">
  <queryTableRefresh nextId="17">
    <queryTableFields count="14">
      <queryTableField id="1" name="ID" tableColumnId="1"/>
      <queryTableField id="2" name="Year" tableColumnId="2"/>
      <queryTableField id="3" name="Date" tableColumnId="3"/>
      <queryTableField id="14" dataBound="0" tableColumnId="16"/>
      <queryTableField id="4" name="Stage" tableColumnId="4"/>
      <queryTableField id="16" dataBound="0" tableColumnId="18"/>
      <queryTableField id="5" name="Home Team" tableColumnId="5"/>
      <queryTableField id="6" name="Home Goals" tableColumnId="6"/>
      <queryTableField id="7" name="Away Goals" tableColumnId="7"/>
      <queryTableField id="8" name="Away Team" tableColumnId="8"/>
      <queryTableField id="11" dataBound="0" tableColumnId="12"/>
      <queryTableField id="9" name="Win Conditions" tableColumnId="9"/>
      <queryTableField id="12" dataBound="0" tableColumnId="13"/>
      <queryTableField id="10" name="Host Tea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2F3DE6-4F64-4D4A-84A2-E257B21130C2}" name="world_cup_matches9" displayName="world_cup_matches9" ref="A1:N901" tableType="queryTable" totalsRowShown="0">
  <autoFilter ref="A1:N901" xr:uid="{312F3DE6-4F64-4D4A-84A2-E257B21130C2}"/>
  <sortState xmlns:xlrd2="http://schemas.microsoft.com/office/spreadsheetml/2017/richdata2" ref="A2:N901">
    <sortCondition ref="D1:D901"/>
  </sortState>
  <tableColumns count="14">
    <tableColumn id="1" xr3:uid="{4D854213-0CAE-4B29-885F-5EB82B241990}" uniqueName="1" name="ID" queryTableFieldId="1"/>
    <tableColumn id="2" xr3:uid="{F935F460-D841-4701-BFC1-7D077A899D07}" uniqueName="2" name="Year" queryTableFieldId="2"/>
    <tableColumn id="3" xr3:uid="{76C719D9-CCB8-4F0E-A817-1550911CF66F}" uniqueName="3" name="Date" queryTableFieldId="3" dataDxfId="1"/>
    <tableColumn id="16" xr3:uid="{475C4326-2CF3-49C9-9BFE-64CFE8FA11D1}" uniqueName="16" name="StageOrder" queryTableFieldId="14" dataDxfId="0">
      <calculatedColumnFormula array="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calculatedColumnFormula>
    </tableColumn>
    <tableColumn id="4" xr3:uid="{9DE8362F-6338-49FD-871F-34D13300ADD6}" uniqueName="4" name="Stage" queryTableFieldId="4" dataDxfId="20"/>
    <tableColumn id="18" xr3:uid="{8E0E27DF-F326-4782-AD7E-50270FDE3099}" uniqueName="18" name="Stage_Group" queryTableFieldId="16" dataDxfId="19">
      <calculatedColumnFormula>IF((world_cup_matches9[[#This Row],[StageOrder]]&gt;=7),"High Pressure","Low Pressure")</calculatedColumnFormula>
    </tableColumn>
    <tableColumn id="5" xr3:uid="{958A0703-1C59-433C-8926-6CEAA2E41A66}" uniqueName="5" name="Home Team" queryTableFieldId="5" dataDxfId="18"/>
    <tableColumn id="6" xr3:uid="{FA84EE9B-5971-4F60-A0FE-8CF8D57627FA}" uniqueName="6" name="Home Goals" queryTableFieldId="6"/>
    <tableColumn id="7" xr3:uid="{459E9D3E-7121-4187-97EB-EBB2D963007D}" uniqueName="7" name="Away Goals" queryTableFieldId="7"/>
    <tableColumn id="8" xr3:uid="{02C25E67-09F1-4829-A787-6E8B44663C8A}" uniqueName="8" name="Away Team" queryTableFieldId="8" dataDxfId="17"/>
    <tableColumn id="12" xr3:uid="{4EE0C807-84C7-417E-808B-A4534659212D}" uniqueName="12" name="Goals" queryTableFieldId="11" dataDxfId="16">
      <calculatedColumnFormula>world_cup_matches9[[#This Row],[Home Goals]]+world_cup_matches9[[#This Row],[Away Goals]]</calculatedColumnFormula>
    </tableColumn>
    <tableColumn id="9" xr3:uid="{0344B084-40D3-4A08-813D-C70B5F567ED4}" uniqueName="9" name="Win Conditions" queryTableFieldId="9" dataDxfId="15"/>
    <tableColumn id="13" xr3:uid="{BF42E18A-01EA-462B-8A3A-CFEA16CE1ACA}" uniqueName="13" name="Win_Type" queryTableFieldId="12" dataDxfId="14">
      <calculatedColumnFormula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calculatedColumnFormula>
    </tableColumn>
    <tableColumn id="10" xr3:uid="{47B7FF0F-261E-4933-A1F1-DB31E9FEB067}" uniqueName="10" name="Host Team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4F1A-8F4F-47FE-AC92-AB75730754A1}">
  <sheetPr>
    <tabColor theme="8" tint="-0.499984740745262"/>
  </sheetPr>
  <dimension ref="A1:AL2"/>
  <sheetViews>
    <sheetView showGridLines="0" tabSelected="1" zoomScale="52" zoomScaleNormal="47" workbookViewId="0">
      <selection activeCell="AG50" sqref="AG50"/>
    </sheetView>
  </sheetViews>
  <sheetFormatPr defaultRowHeight="14.4" x14ac:dyDescent="0.3"/>
  <cols>
    <col min="1" max="16384" width="8.88671875" style="7"/>
  </cols>
  <sheetData>
    <row r="1" spans="1:38" ht="61.2" x14ac:dyDescent="1.1000000000000001">
      <c r="A1" s="12" t="s">
        <v>157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8" ht="31.2" x14ac:dyDescent="0.6">
      <c r="A2" s="14" t="s">
        <v>158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8"/>
      <c r="AF2" s="8"/>
      <c r="AG2" s="8"/>
      <c r="AH2" s="8"/>
      <c r="AI2" s="8"/>
      <c r="AJ2" s="8"/>
      <c r="AK2" s="8"/>
      <c r="AL2" s="8"/>
    </row>
  </sheetData>
  <mergeCells count="2">
    <mergeCell ref="A1:AD1"/>
    <mergeCell ref="A2:A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4E79-6E40-4A81-B6AF-9323DE3D24F4}">
  <dimension ref="A1:N901"/>
  <sheetViews>
    <sheetView workbookViewId="0">
      <selection activeCell="K2" sqref="K2"/>
    </sheetView>
  </sheetViews>
  <sheetFormatPr defaultRowHeight="14.4" x14ac:dyDescent="0.3"/>
  <cols>
    <col min="1" max="1" width="5" bestFit="1" customWidth="1"/>
    <col min="2" max="2" width="6.88671875" bestFit="1" customWidth="1"/>
    <col min="3" max="3" width="9.33203125" bestFit="1" customWidth="1"/>
    <col min="4" max="4" width="12.6640625" style="3" bestFit="1" customWidth="1"/>
    <col min="5" max="5" width="16.6640625" bestFit="1" customWidth="1"/>
    <col min="6" max="6" width="13.77734375" bestFit="1" customWidth="1"/>
    <col min="7" max="7" width="20.21875" bestFit="1" customWidth="1"/>
    <col min="8" max="8" width="13.33203125" bestFit="1" customWidth="1"/>
    <col min="9" max="9" width="12.6640625" bestFit="1" customWidth="1"/>
    <col min="10" max="10" width="20.21875" bestFit="1" customWidth="1"/>
    <col min="11" max="11" width="8" bestFit="1" customWidth="1"/>
    <col min="12" max="12" width="34.33203125" bestFit="1" customWidth="1"/>
    <col min="13" max="13" width="11.109375" bestFit="1" customWidth="1"/>
    <col min="14" max="14" width="12" bestFit="1" customWidth="1"/>
  </cols>
  <sheetData>
    <row r="1" spans="1:14" x14ac:dyDescent="0.3">
      <c r="A1" t="s">
        <v>31</v>
      </c>
      <c r="B1" t="s">
        <v>32</v>
      </c>
      <c r="C1" t="s">
        <v>33</v>
      </c>
      <c r="D1" s="3" t="s">
        <v>135</v>
      </c>
      <c r="E1" t="s">
        <v>34</v>
      </c>
      <c r="F1" t="s">
        <v>148</v>
      </c>
      <c r="G1" t="s">
        <v>35</v>
      </c>
      <c r="H1" t="s">
        <v>57</v>
      </c>
      <c r="I1" t="s">
        <v>58</v>
      </c>
      <c r="J1" t="s">
        <v>36</v>
      </c>
      <c r="K1" t="s">
        <v>44</v>
      </c>
      <c r="L1" t="s">
        <v>59</v>
      </c>
      <c r="M1" t="s">
        <v>134</v>
      </c>
      <c r="N1" t="s">
        <v>37</v>
      </c>
    </row>
    <row r="2" spans="1:14" x14ac:dyDescent="0.3">
      <c r="A2">
        <v>233</v>
      </c>
      <c r="B2">
        <v>1974</v>
      </c>
      <c r="C2" s="2">
        <v>27193</v>
      </c>
      <c r="D2" s="3" cm="1">
        <f t="array" ref="D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" t="s">
        <v>100</v>
      </c>
      <c r="F2" t="str">
        <f>IF((world_cup_matches9[[#This Row],[StageOrder]]&gt;=7),"High Pressure","Low Pressure")</f>
        <v>Low Pressure</v>
      </c>
      <c r="G2" t="s">
        <v>23</v>
      </c>
      <c r="H2">
        <v>0</v>
      </c>
      <c r="I2">
        <v>0</v>
      </c>
      <c r="J2" t="s">
        <v>69</v>
      </c>
      <c r="K2">
        <f>world_cup_matches9[[#This Row],[Home Goals]]+world_cup_matches9[[#This Row],[Away Goals]]</f>
        <v>0</v>
      </c>
      <c r="L2" t="s">
        <v>132</v>
      </c>
      <c r="M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" t="b">
        <v>0</v>
      </c>
    </row>
    <row r="3" spans="1:14" x14ac:dyDescent="0.3">
      <c r="A3">
        <v>234</v>
      </c>
      <c r="B3">
        <v>1974</v>
      </c>
      <c r="C3" s="2">
        <v>27194</v>
      </c>
      <c r="D3" s="3" cm="1">
        <f t="array" ref="D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" t="s">
        <v>100</v>
      </c>
      <c r="F3" t="str">
        <f>IF((world_cup_matches9[[#This Row],[StageOrder]]&gt;=7),"High Pressure","Low Pressure")</f>
        <v>Low Pressure</v>
      </c>
      <c r="G3" t="s">
        <v>17</v>
      </c>
      <c r="H3">
        <v>1</v>
      </c>
      <c r="I3">
        <v>0</v>
      </c>
      <c r="J3" t="s">
        <v>63</v>
      </c>
      <c r="K3">
        <f>world_cup_matches9[[#This Row],[Home Goals]]+world_cup_matches9[[#This Row],[Away Goals]]</f>
        <v>1</v>
      </c>
      <c r="L3" t="s">
        <v>132</v>
      </c>
      <c r="M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" t="b">
        <v>1</v>
      </c>
    </row>
    <row r="4" spans="1:14" x14ac:dyDescent="0.3">
      <c r="A4">
        <v>235</v>
      </c>
      <c r="B4">
        <v>1974</v>
      </c>
      <c r="C4" s="2">
        <v>27194</v>
      </c>
      <c r="D4" s="3" cm="1">
        <f t="array" ref="D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" t="s">
        <v>100</v>
      </c>
      <c r="F4" t="str">
        <f>IF((world_cup_matches9[[#This Row],[StageOrder]]&gt;=7),"High Pressure","Low Pressure")</f>
        <v>Low Pressure</v>
      </c>
      <c r="G4" t="s">
        <v>101</v>
      </c>
      <c r="H4">
        <v>2</v>
      </c>
      <c r="I4">
        <v>0</v>
      </c>
      <c r="J4" t="s">
        <v>12</v>
      </c>
      <c r="K4">
        <f>world_cup_matches9[[#This Row],[Home Goals]]+world_cup_matches9[[#This Row],[Away Goals]]</f>
        <v>2</v>
      </c>
      <c r="L4" t="s">
        <v>132</v>
      </c>
      <c r="M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" t="b">
        <v>0</v>
      </c>
    </row>
    <row r="5" spans="1:14" x14ac:dyDescent="0.3">
      <c r="A5">
        <v>236</v>
      </c>
      <c r="B5">
        <v>1974</v>
      </c>
      <c r="C5" s="2">
        <v>27194</v>
      </c>
      <c r="D5" s="3" cm="1">
        <f t="array" ref="D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" t="s">
        <v>100</v>
      </c>
      <c r="F5" t="str">
        <f>IF((world_cup_matches9[[#This Row],[StageOrder]]&gt;=7),"High Pressure","Low Pressure")</f>
        <v>Low Pressure</v>
      </c>
      <c r="G5" t="s">
        <v>89</v>
      </c>
      <c r="H5">
        <v>0</v>
      </c>
      <c r="I5">
        <v>2</v>
      </c>
      <c r="J5" t="s">
        <v>49</v>
      </c>
      <c r="K5">
        <f>world_cup_matches9[[#This Row],[Home Goals]]+world_cup_matches9[[#This Row],[Away Goals]]</f>
        <v>2</v>
      </c>
      <c r="L5" t="s">
        <v>132</v>
      </c>
      <c r="M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" t="b">
        <v>0</v>
      </c>
    </row>
    <row r="6" spans="1:14" x14ac:dyDescent="0.3">
      <c r="A6">
        <v>237</v>
      </c>
      <c r="B6">
        <v>1974</v>
      </c>
      <c r="C6" s="2">
        <v>27195</v>
      </c>
      <c r="D6" s="3" cm="1">
        <f t="array" ref="D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" t="s">
        <v>100</v>
      </c>
      <c r="F6" t="str">
        <f>IF((world_cup_matches9[[#This Row],[StageOrder]]&gt;=7),"High Pressure","Low Pressure")</f>
        <v>Low Pressure</v>
      </c>
      <c r="G6" t="s">
        <v>29</v>
      </c>
      <c r="H6">
        <v>0</v>
      </c>
      <c r="I6">
        <v>2</v>
      </c>
      <c r="J6" t="s">
        <v>2</v>
      </c>
      <c r="K6">
        <f>world_cup_matches9[[#This Row],[Home Goals]]+world_cup_matches9[[#This Row],[Away Goals]]</f>
        <v>2</v>
      </c>
      <c r="L6" t="s">
        <v>132</v>
      </c>
      <c r="M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" t="b">
        <v>0</v>
      </c>
    </row>
    <row r="7" spans="1:14" x14ac:dyDescent="0.3">
      <c r="A7">
        <v>238</v>
      </c>
      <c r="B7">
        <v>1974</v>
      </c>
      <c r="C7" s="2">
        <v>27195</v>
      </c>
      <c r="D7" s="3" cm="1">
        <f t="array" ref="D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" t="s">
        <v>100</v>
      </c>
      <c r="F7" t="str">
        <f>IF((world_cup_matches9[[#This Row],[StageOrder]]&gt;=7),"High Pressure","Low Pressure")</f>
        <v>Low Pressure</v>
      </c>
      <c r="G7" t="s">
        <v>62</v>
      </c>
      <c r="H7">
        <v>0</v>
      </c>
      <c r="I7">
        <v>0</v>
      </c>
      <c r="J7" t="s">
        <v>74</v>
      </c>
      <c r="K7">
        <f>world_cup_matches9[[#This Row],[Home Goals]]+world_cup_matches9[[#This Row],[Away Goals]]</f>
        <v>0</v>
      </c>
      <c r="L7" t="s">
        <v>132</v>
      </c>
      <c r="M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" t="b">
        <v>0</v>
      </c>
    </row>
    <row r="8" spans="1:14" x14ac:dyDescent="0.3">
      <c r="A8">
        <v>239</v>
      </c>
      <c r="B8">
        <v>1974</v>
      </c>
      <c r="C8" s="2">
        <v>27195</v>
      </c>
      <c r="D8" s="3" cm="1">
        <f t="array" ref="D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" t="s">
        <v>100</v>
      </c>
      <c r="F8" t="str">
        <f>IF((world_cup_matches9[[#This Row],[StageOrder]]&gt;=7),"High Pressure","Low Pressure")</f>
        <v>Low Pressure</v>
      </c>
      <c r="G8" t="s">
        <v>46</v>
      </c>
      <c r="H8">
        <v>3</v>
      </c>
      <c r="I8">
        <v>1</v>
      </c>
      <c r="J8" t="s">
        <v>83</v>
      </c>
      <c r="K8">
        <f>world_cup_matches9[[#This Row],[Home Goals]]+world_cup_matches9[[#This Row],[Away Goals]]</f>
        <v>4</v>
      </c>
      <c r="L8" t="s">
        <v>132</v>
      </c>
      <c r="M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" t="b">
        <v>0</v>
      </c>
    </row>
    <row r="9" spans="1:14" x14ac:dyDescent="0.3">
      <c r="A9">
        <v>240</v>
      </c>
      <c r="B9">
        <v>1974</v>
      </c>
      <c r="C9" s="2">
        <v>27195</v>
      </c>
      <c r="D9" s="3" cm="1">
        <f t="array" ref="D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9" t="s">
        <v>100</v>
      </c>
      <c r="F9" t="str">
        <f>IF((world_cup_matches9[[#This Row],[StageOrder]]&gt;=7),"High Pressure","Low Pressure")</f>
        <v>Low Pressure</v>
      </c>
      <c r="G9" t="s">
        <v>10</v>
      </c>
      <c r="H9">
        <v>3</v>
      </c>
      <c r="I9">
        <v>2</v>
      </c>
      <c r="J9" t="s">
        <v>7</v>
      </c>
      <c r="K9">
        <f>world_cup_matches9[[#This Row],[Home Goals]]+world_cup_matches9[[#This Row],[Away Goals]]</f>
        <v>5</v>
      </c>
      <c r="L9" t="s">
        <v>132</v>
      </c>
      <c r="M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" t="b">
        <v>0</v>
      </c>
    </row>
    <row r="10" spans="1:14" x14ac:dyDescent="0.3">
      <c r="A10">
        <v>241</v>
      </c>
      <c r="B10">
        <v>1974</v>
      </c>
      <c r="C10" s="2">
        <v>27198</v>
      </c>
      <c r="D10" s="3" cm="1">
        <f t="array" ref="D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0" t="s">
        <v>100</v>
      </c>
      <c r="F10" t="str">
        <f>IF((world_cup_matches9[[#This Row],[StageOrder]]&gt;=7),"High Pressure","Low Pressure")</f>
        <v>Low Pressure</v>
      </c>
      <c r="G10" t="s">
        <v>17</v>
      </c>
      <c r="H10">
        <v>3</v>
      </c>
      <c r="I10">
        <v>0</v>
      </c>
      <c r="J10" t="s">
        <v>12</v>
      </c>
      <c r="K10">
        <f>world_cup_matches9[[#This Row],[Home Goals]]+world_cup_matches9[[#This Row],[Away Goals]]</f>
        <v>3</v>
      </c>
      <c r="L10" t="s">
        <v>132</v>
      </c>
      <c r="M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" t="b">
        <v>1</v>
      </c>
    </row>
    <row r="11" spans="1:14" x14ac:dyDescent="0.3">
      <c r="A11">
        <v>242</v>
      </c>
      <c r="B11">
        <v>1974</v>
      </c>
      <c r="C11" s="2">
        <v>27198</v>
      </c>
      <c r="D11" s="3" cm="1">
        <f t="array" ref="D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1" t="s">
        <v>100</v>
      </c>
      <c r="F11" t="str">
        <f>IF((world_cup_matches9[[#This Row],[StageOrder]]&gt;=7),"High Pressure","Low Pressure")</f>
        <v>Low Pressure</v>
      </c>
      <c r="G11" t="s">
        <v>49</v>
      </c>
      <c r="H11">
        <v>0</v>
      </c>
      <c r="I11">
        <v>0</v>
      </c>
      <c r="J11" t="s">
        <v>23</v>
      </c>
      <c r="K11">
        <f>world_cup_matches9[[#This Row],[Home Goals]]+world_cup_matches9[[#This Row],[Away Goals]]</f>
        <v>0</v>
      </c>
      <c r="L11" t="s">
        <v>132</v>
      </c>
      <c r="M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" t="b">
        <v>0</v>
      </c>
    </row>
    <row r="12" spans="1:14" x14ac:dyDescent="0.3">
      <c r="A12">
        <v>243</v>
      </c>
      <c r="B12">
        <v>1974</v>
      </c>
      <c r="C12" s="2">
        <v>27198</v>
      </c>
      <c r="D12" s="3" cm="1">
        <f t="array" ref="D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2" t="s">
        <v>100</v>
      </c>
      <c r="F12" t="str">
        <f>IF((world_cup_matches9[[#This Row],[StageOrder]]&gt;=7),"High Pressure","Low Pressure")</f>
        <v>Low Pressure</v>
      </c>
      <c r="G12" t="s">
        <v>63</v>
      </c>
      <c r="H12">
        <v>1</v>
      </c>
      <c r="I12">
        <v>1</v>
      </c>
      <c r="J12" t="s">
        <v>101</v>
      </c>
      <c r="K12">
        <f>world_cup_matches9[[#This Row],[Home Goals]]+world_cup_matches9[[#This Row],[Away Goals]]</f>
        <v>2</v>
      </c>
      <c r="L12" t="s">
        <v>132</v>
      </c>
      <c r="M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" t="b">
        <v>0</v>
      </c>
    </row>
    <row r="13" spans="1:14" x14ac:dyDescent="0.3">
      <c r="A13">
        <v>244</v>
      </c>
      <c r="B13">
        <v>1974</v>
      </c>
      <c r="C13" s="2">
        <v>27198</v>
      </c>
      <c r="D13" s="3" cm="1">
        <f t="array" ref="D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3" t="s">
        <v>100</v>
      </c>
      <c r="F13" t="str">
        <f>IF((world_cup_matches9[[#This Row],[StageOrder]]&gt;=7),"High Pressure","Low Pressure")</f>
        <v>Low Pressure</v>
      </c>
      <c r="G13" t="s">
        <v>69</v>
      </c>
      <c r="H13">
        <v>9</v>
      </c>
      <c r="I13">
        <v>0</v>
      </c>
      <c r="J13" t="s">
        <v>89</v>
      </c>
      <c r="K13">
        <f>world_cup_matches9[[#This Row],[Home Goals]]+world_cup_matches9[[#This Row],[Away Goals]]</f>
        <v>9</v>
      </c>
      <c r="L13" t="s">
        <v>132</v>
      </c>
      <c r="M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" t="b">
        <v>0</v>
      </c>
    </row>
    <row r="14" spans="1:14" x14ac:dyDescent="0.3">
      <c r="A14">
        <v>245</v>
      </c>
      <c r="B14">
        <v>1974</v>
      </c>
      <c r="C14" s="2">
        <v>27199</v>
      </c>
      <c r="D14" s="3" cm="1">
        <f t="array" ref="D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4" t="s">
        <v>100</v>
      </c>
      <c r="F14" t="str">
        <f>IF((world_cup_matches9[[#This Row],[StageOrder]]&gt;=7),"High Pressure","Low Pressure")</f>
        <v>Low Pressure</v>
      </c>
      <c r="G14" t="s">
        <v>2</v>
      </c>
      <c r="H14">
        <v>0</v>
      </c>
      <c r="I14">
        <v>0</v>
      </c>
      <c r="J14" t="s">
        <v>62</v>
      </c>
      <c r="K14">
        <f>world_cup_matches9[[#This Row],[Home Goals]]+world_cup_matches9[[#This Row],[Away Goals]]</f>
        <v>0</v>
      </c>
      <c r="L14" t="s">
        <v>132</v>
      </c>
      <c r="M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" t="b">
        <v>0</v>
      </c>
    </row>
    <row r="15" spans="1:14" x14ac:dyDescent="0.3">
      <c r="A15">
        <v>246</v>
      </c>
      <c r="B15">
        <v>1974</v>
      </c>
      <c r="C15" s="2">
        <v>27199</v>
      </c>
      <c r="D15" s="3" cm="1">
        <f t="array" ref="D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5" t="s">
        <v>100</v>
      </c>
      <c r="F15" t="str">
        <f>IF((world_cup_matches9[[#This Row],[StageOrder]]&gt;=7),"High Pressure","Low Pressure")</f>
        <v>Low Pressure</v>
      </c>
      <c r="G15" t="s">
        <v>74</v>
      </c>
      <c r="H15">
        <v>1</v>
      </c>
      <c r="I15">
        <v>1</v>
      </c>
      <c r="J15" t="s">
        <v>29</v>
      </c>
      <c r="K15">
        <f>world_cup_matches9[[#This Row],[Home Goals]]+world_cup_matches9[[#This Row],[Away Goals]]</f>
        <v>2</v>
      </c>
      <c r="L15" t="s">
        <v>132</v>
      </c>
      <c r="M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" t="b">
        <v>0</v>
      </c>
    </row>
    <row r="16" spans="1:14" x14ac:dyDescent="0.3">
      <c r="A16">
        <v>247</v>
      </c>
      <c r="B16">
        <v>1974</v>
      </c>
      <c r="C16" s="2">
        <v>27199</v>
      </c>
      <c r="D16" s="3" cm="1">
        <f t="array" ref="D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6" t="s">
        <v>100</v>
      </c>
      <c r="F16" t="str">
        <f>IF((world_cup_matches9[[#This Row],[StageOrder]]&gt;=7),"High Pressure","Low Pressure")</f>
        <v>Low Pressure</v>
      </c>
      <c r="G16" t="s">
        <v>83</v>
      </c>
      <c r="H16">
        <v>0</v>
      </c>
      <c r="I16">
        <v>7</v>
      </c>
      <c r="J16" t="s">
        <v>10</v>
      </c>
      <c r="K16">
        <f>world_cup_matches9[[#This Row],[Home Goals]]+world_cup_matches9[[#This Row],[Away Goals]]</f>
        <v>7</v>
      </c>
      <c r="L16" t="s">
        <v>132</v>
      </c>
      <c r="M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" t="b">
        <v>0</v>
      </c>
    </row>
    <row r="17" spans="1:14" x14ac:dyDescent="0.3">
      <c r="A17">
        <v>248</v>
      </c>
      <c r="B17">
        <v>1974</v>
      </c>
      <c r="C17" s="2">
        <v>27199</v>
      </c>
      <c r="D17" s="3" cm="1">
        <f t="array" ref="D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7" t="s">
        <v>100</v>
      </c>
      <c r="F17" t="str">
        <f>IF((world_cup_matches9[[#This Row],[StageOrder]]&gt;=7),"High Pressure","Low Pressure")</f>
        <v>Low Pressure</v>
      </c>
      <c r="G17" t="s">
        <v>7</v>
      </c>
      <c r="H17">
        <v>1</v>
      </c>
      <c r="I17">
        <v>1</v>
      </c>
      <c r="J17" t="s">
        <v>46</v>
      </c>
      <c r="K17">
        <f>world_cup_matches9[[#This Row],[Home Goals]]+world_cup_matches9[[#This Row],[Away Goals]]</f>
        <v>2</v>
      </c>
      <c r="L17" t="s">
        <v>132</v>
      </c>
      <c r="M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" t="b">
        <v>0</v>
      </c>
    </row>
    <row r="18" spans="1:14" x14ac:dyDescent="0.3">
      <c r="A18">
        <v>249</v>
      </c>
      <c r="B18">
        <v>1974</v>
      </c>
      <c r="C18" s="2">
        <v>27202</v>
      </c>
      <c r="D18" s="3" cm="1">
        <f t="array" ref="D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8" t="s">
        <v>100</v>
      </c>
      <c r="F18" t="str">
        <f>IF((world_cup_matches9[[#This Row],[StageOrder]]&gt;=7),"High Pressure","Low Pressure")</f>
        <v>Low Pressure</v>
      </c>
      <c r="G18" t="s">
        <v>49</v>
      </c>
      <c r="H18">
        <v>1</v>
      </c>
      <c r="I18">
        <v>1</v>
      </c>
      <c r="J18" t="s">
        <v>69</v>
      </c>
      <c r="K18">
        <f>world_cup_matches9[[#This Row],[Home Goals]]+world_cup_matches9[[#This Row],[Away Goals]]</f>
        <v>2</v>
      </c>
      <c r="L18" t="s">
        <v>132</v>
      </c>
      <c r="M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" t="b">
        <v>0</v>
      </c>
    </row>
    <row r="19" spans="1:14" x14ac:dyDescent="0.3">
      <c r="A19">
        <v>250</v>
      </c>
      <c r="B19">
        <v>1974</v>
      </c>
      <c r="C19" s="2">
        <v>27202</v>
      </c>
      <c r="D19" s="3" cm="1">
        <f t="array" ref="D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19" t="s">
        <v>100</v>
      </c>
      <c r="F19" t="str">
        <f>IF((world_cup_matches9[[#This Row],[StageOrder]]&gt;=7),"High Pressure","Low Pressure")</f>
        <v>Low Pressure</v>
      </c>
      <c r="G19" t="s">
        <v>12</v>
      </c>
      <c r="H19">
        <v>0</v>
      </c>
      <c r="I19">
        <v>0</v>
      </c>
      <c r="J19" t="s">
        <v>63</v>
      </c>
      <c r="K19">
        <f>world_cup_matches9[[#This Row],[Home Goals]]+world_cup_matches9[[#This Row],[Away Goals]]</f>
        <v>0</v>
      </c>
      <c r="L19" t="s">
        <v>132</v>
      </c>
      <c r="M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" t="b">
        <v>0</v>
      </c>
    </row>
    <row r="20" spans="1:14" x14ac:dyDescent="0.3">
      <c r="A20">
        <v>251</v>
      </c>
      <c r="B20">
        <v>1974</v>
      </c>
      <c r="C20" s="2">
        <v>27202</v>
      </c>
      <c r="D20" s="3" cm="1">
        <f t="array" ref="D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0" t="s">
        <v>100</v>
      </c>
      <c r="F20" t="str">
        <f>IF((world_cup_matches9[[#This Row],[StageOrder]]&gt;=7),"High Pressure","Low Pressure")</f>
        <v>Low Pressure</v>
      </c>
      <c r="G20" t="s">
        <v>89</v>
      </c>
      <c r="H20">
        <v>0</v>
      </c>
      <c r="I20">
        <v>3</v>
      </c>
      <c r="J20" t="s">
        <v>23</v>
      </c>
      <c r="K20">
        <f>world_cup_matches9[[#This Row],[Home Goals]]+world_cup_matches9[[#This Row],[Away Goals]]</f>
        <v>3</v>
      </c>
      <c r="L20" t="s">
        <v>132</v>
      </c>
      <c r="M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" t="b">
        <v>0</v>
      </c>
    </row>
    <row r="21" spans="1:14" x14ac:dyDescent="0.3">
      <c r="A21">
        <v>252</v>
      </c>
      <c r="B21">
        <v>1974</v>
      </c>
      <c r="C21" s="2">
        <v>27202</v>
      </c>
      <c r="D21" s="3" cm="1">
        <f t="array" ref="D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1" t="s">
        <v>100</v>
      </c>
      <c r="F21" t="str">
        <f>IF((world_cup_matches9[[#This Row],[StageOrder]]&gt;=7),"High Pressure","Low Pressure")</f>
        <v>Low Pressure</v>
      </c>
      <c r="G21" t="s">
        <v>17</v>
      </c>
      <c r="H21">
        <v>0</v>
      </c>
      <c r="I21">
        <v>1</v>
      </c>
      <c r="J21" t="s">
        <v>101</v>
      </c>
      <c r="K21">
        <f>world_cup_matches9[[#This Row],[Home Goals]]+world_cup_matches9[[#This Row],[Away Goals]]</f>
        <v>1</v>
      </c>
      <c r="L21" t="s">
        <v>132</v>
      </c>
      <c r="M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" t="b">
        <v>1</v>
      </c>
    </row>
    <row r="22" spans="1:14" x14ac:dyDescent="0.3">
      <c r="A22">
        <v>253</v>
      </c>
      <c r="B22">
        <v>1974</v>
      </c>
      <c r="C22" s="2">
        <v>27203</v>
      </c>
      <c r="D22" s="3" cm="1">
        <f t="array" ref="D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2" t="s">
        <v>100</v>
      </c>
      <c r="F22" t="str">
        <f>IF((world_cup_matches9[[#This Row],[StageOrder]]&gt;=7),"High Pressure","Low Pressure")</f>
        <v>Low Pressure</v>
      </c>
      <c r="G22" t="s">
        <v>74</v>
      </c>
      <c r="H22">
        <v>1</v>
      </c>
      <c r="I22">
        <v>4</v>
      </c>
      <c r="J22" t="s">
        <v>2</v>
      </c>
      <c r="K22">
        <f>world_cup_matches9[[#This Row],[Home Goals]]+world_cup_matches9[[#This Row],[Away Goals]]</f>
        <v>5</v>
      </c>
      <c r="L22" t="s">
        <v>132</v>
      </c>
      <c r="M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" t="b">
        <v>0</v>
      </c>
    </row>
    <row r="23" spans="1:14" x14ac:dyDescent="0.3">
      <c r="A23">
        <v>254</v>
      </c>
      <c r="B23">
        <v>1974</v>
      </c>
      <c r="C23" s="2">
        <v>27203</v>
      </c>
      <c r="D23" s="3" cm="1">
        <f t="array" ref="D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3" t="s">
        <v>100</v>
      </c>
      <c r="F23" t="str">
        <f>IF((world_cup_matches9[[#This Row],[StageOrder]]&gt;=7),"High Pressure","Low Pressure")</f>
        <v>Low Pressure</v>
      </c>
      <c r="G23" t="s">
        <v>7</v>
      </c>
      <c r="H23">
        <v>4</v>
      </c>
      <c r="I23">
        <v>1</v>
      </c>
      <c r="J23" t="s">
        <v>83</v>
      </c>
      <c r="K23">
        <f>world_cup_matches9[[#This Row],[Home Goals]]+world_cup_matches9[[#This Row],[Away Goals]]</f>
        <v>5</v>
      </c>
      <c r="L23" t="s">
        <v>132</v>
      </c>
      <c r="M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" t="b">
        <v>0</v>
      </c>
    </row>
    <row r="24" spans="1:14" x14ac:dyDescent="0.3">
      <c r="A24">
        <v>255</v>
      </c>
      <c r="B24">
        <v>1974</v>
      </c>
      <c r="C24" s="2">
        <v>27203</v>
      </c>
      <c r="D24" s="3" cm="1">
        <f t="array" ref="D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4" t="s">
        <v>100</v>
      </c>
      <c r="F24" t="str">
        <f>IF((world_cup_matches9[[#This Row],[StageOrder]]&gt;=7),"High Pressure","Low Pressure")</f>
        <v>Low Pressure</v>
      </c>
      <c r="G24" t="s">
        <v>62</v>
      </c>
      <c r="H24">
        <v>3</v>
      </c>
      <c r="I24">
        <v>0</v>
      </c>
      <c r="J24" t="s">
        <v>29</v>
      </c>
      <c r="K24">
        <f>world_cup_matches9[[#This Row],[Home Goals]]+world_cup_matches9[[#This Row],[Away Goals]]</f>
        <v>3</v>
      </c>
      <c r="L24" t="s">
        <v>132</v>
      </c>
      <c r="M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" t="b">
        <v>0</v>
      </c>
    </row>
    <row r="25" spans="1:14" x14ac:dyDescent="0.3">
      <c r="A25">
        <v>256</v>
      </c>
      <c r="B25">
        <v>1974</v>
      </c>
      <c r="C25" s="2">
        <v>27203</v>
      </c>
      <c r="D25" s="3" cm="1">
        <f t="array" ref="D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5" t="s">
        <v>100</v>
      </c>
      <c r="F25" t="str">
        <f>IF((world_cup_matches9[[#This Row],[StageOrder]]&gt;=7),"High Pressure","Low Pressure")</f>
        <v>Low Pressure</v>
      </c>
      <c r="G25" t="s">
        <v>10</v>
      </c>
      <c r="H25">
        <v>2</v>
      </c>
      <c r="I25">
        <v>1</v>
      </c>
      <c r="J25" t="s">
        <v>46</v>
      </c>
      <c r="K25">
        <f>world_cup_matches9[[#This Row],[Home Goals]]+world_cup_matches9[[#This Row],[Away Goals]]</f>
        <v>3</v>
      </c>
      <c r="L25" t="s">
        <v>132</v>
      </c>
      <c r="M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" t="b">
        <v>0</v>
      </c>
    </row>
    <row r="26" spans="1:14" x14ac:dyDescent="0.3">
      <c r="A26">
        <v>271</v>
      </c>
      <c r="B26">
        <v>1978</v>
      </c>
      <c r="C26" s="2">
        <v>28642</v>
      </c>
      <c r="D26" s="3" cm="1">
        <f t="array" ref="D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6" t="s">
        <v>100</v>
      </c>
      <c r="F26" t="str">
        <f>IF((world_cup_matches9[[#This Row],[StageOrder]]&gt;=7),"High Pressure","Low Pressure")</f>
        <v>Low Pressure</v>
      </c>
      <c r="G26" t="s">
        <v>17</v>
      </c>
      <c r="H26">
        <v>0</v>
      </c>
      <c r="I26">
        <v>0</v>
      </c>
      <c r="J26" t="s">
        <v>10</v>
      </c>
      <c r="K26">
        <f>world_cup_matches9[[#This Row],[Home Goals]]+world_cup_matches9[[#This Row],[Away Goals]]</f>
        <v>0</v>
      </c>
      <c r="L26" t="s">
        <v>132</v>
      </c>
      <c r="M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" t="b">
        <v>0</v>
      </c>
    </row>
    <row r="27" spans="1:14" x14ac:dyDescent="0.3">
      <c r="A27">
        <v>272</v>
      </c>
      <c r="B27">
        <v>1978</v>
      </c>
      <c r="C27" s="2">
        <v>28643</v>
      </c>
      <c r="D27" s="3" cm="1">
        <f t="array" ref="D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7" t="s">
        <v>100</v>
      </c>
      <c r="F27" t="str">
        <f>IF((world_cup_matches9[[#This Row],[StageOrder]]&gt;=7),"High Pressure","Low Pressure")</f>
        <v>Low Pressure</v>
      </c>
      <c r="G27" t="s">
        <v>46</v>
      </c>
      <c r="H27">
        <v>2</v>
      </c>
      <c r="I27">
        <v>1</v>
      </c>
      <c r="J27" t="s">
        <v>11</v>
      </c>
      <c r="K27">
        <f>world_cup_matches9[[#This Row],[Home Goals]]+world_cup_matches9[[#This Row],[Away Goals]]</f>
        <v>3</v>
      </c>
      <c r="L27" t="s">
        <v>132</v>
      </c>
      <c r="M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" t="b">
        <v>0</v>
      </c>
    </row>
    <row r="28" spans="1:14" x14ac:dyDescent="0.3">
      <c r="A28">
        <v>273</v>
      </c>
      <c r="B28">
        <v>1978</v>
      </c>
      <c r="C28" s="2">
        <v>28643</v>
      </c>
      <c r="D28" s="3" cm="1">
        <f t="array" ref="D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8" t="s">
        <v>100</v>
      </c>
      <c r="F28" t="str">
        <f>IF((world_cup_matches9[[#This Row],[StageOrder]]&gt;=7),"High Pressure","Low Pressure")</f>
        <v>Low Pressure</v>
      </c>
      <c r="G28" t="s">
        <v>14</v>
      </c>
      <c r="H28">
        <v>3</v>
      </c>
      <c r="I28">
        <v>1</v>
      </c>
      <c r="J28" t="s">
        <v>9</v>
      </c>
      <c r="K28">
        <f>world_cup_matches9[[#This Row],[Home Goals]]+world_cup_matches9[[#This Row],[Away Goals]]</f>
        <v>4</v>
      </c>
      <c r="L28" t="s">
        <v>132</v>
      </c>
      <c r="M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" t="b">
        <v>0</v>
      </c>
    </row>
    <row r="29" spans="1:14" x14ac:dyDescent="0.3">
      <c r="A29">
        <v>274</v>
      </c>
      <c r="B29">
        <v>1978</v>
      </c>
      <c r="C29" s="2">
        <v>28643</v>
      </c>
      <c r="D29" s="3" cm="1">
        <f t="array" ref="D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29" t="s">
        <v>100</v>
      </c>
      <c r="F29" t="str">
        <f>IF((world_cup_matches9[[#This Row],[StageOrder]]&gt;=7),"High Pressure","Low Pressure")</f>
        <v>Low Pressure</v>
      </c>
      <c r="G29" t="s">
        <v>7</v>
      </c>
      <c r="H29">
        <v>2</v>
      </c>
      <c r="I29">
        <v>1</v>
      </c>
      <c r="J29" t="s">
        <v>52</v>
      </c>
      <c r="K29">
        <f>world_cup_matches9[[#This Row],[Home Goals]]+world_cup_matches9[[#This Row],[Away Goals]]</f>
        <v>3</v>
      </c>
      <c r="L29" t="s">
        <v>132</v>
      </c>
      <c r="M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" t="b">
        <v>1</v>
      </c>
    </row>
    <row r="30" spans="1:14" x14ac:dyDescent="0.3">
      <c r="A30">
        <v>275</v>
      </c>
      <c r="B30">
        <v>1978</v>
      </c>
      <c r="C30" s="2">
        <v>28644</v>
      </c>
      <c r="D30" s="3" cm="1">
        <f t="array" ref="D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0" t="s">
        <v>100</v>
      </c>
      <c r="F30" t="str">
        <f>IF((world_cup_matches9[[#This Row],[StageOrder]]&gt;=7),"High Pressure","Low Pressure")</f>
        <v>Low Pressure</v>
      </c>
      <c r="G30" t="s">
        <v>62</v>
      </c>
      <c r="H30">
        <v>1</v>
      </c>
      <c r="I30">
        <v>1</v>
      </c>
      <c r="J30" t="s">
        <v>23</v>
      </c>
      <c r="K30">
        <f>world_cup_matches9[[#This Row],[Home Goals]]+world_cup_matches9[[#This Row],[Away Goals]]</f>
        <v>2</v>
      </c>
      <c r="L30" t="s">
        <v>132</v>
      </c>
      <c r="M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" t="b">
        <v>0</v>
      </c>
    </row>
    <row r="31" spans="1:14" x14ac:dyDescent="0.3">
      <c r="A31">
        <v>276</v>
      </c>
      <c r="B31">
        <v>1978</v>
      </c>
      <c r="C31" s="2">
        <v>28644</v>
      </c>
      <c r="D31" s="3" cm="1">
        <f t="array" ref="D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1" t="s">
        <v>100</v>
      </c>
      <c r="F31" t="str">
        <f>IF((world_cup_matches9[[#This Row],[StageOrder]]&gt;=7),"High Pressure","Low Pressure")</f>
        <v>Low Pressure</v>
      </c>
      <c r="G31" t="s">
        <v>55</v>
      </c>
      <c r="H31">
        <v>2</v>
      </c>
      <c r="I31">
        <v>1</v>
      </c>
      <c r="J31" t="s">
        <v>15</v>
      </c>
      <c r="K31">
        <f>world_cup_matches9[[#This Row],[Home Goals]]+world_cup_matches9[[#This Row],[Away Goals]]</f>
        <v>3</v>
      </c>
      <c r="L31" t="s">
        <v>132</v>
      </c>
      <c r="M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" t="b">
        <v>0</v>
      </c>
    </row>
    <row r="32" spans="1:14" x14ac:dyDescent="0.3">
      <c r="A32">
        <v>277</v>
      </c>
      <c r="B32">
        <v>1978</v>
      </c>
      <c r="C32" s="2">
        <v>28644</v>
      </c>
      <c r="D32" s="3" cm="1">
        <f t="array" ref="D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2" t="s">
        <v>100</v>
      </c>
      <c r="F32" t="str">
        <f>IF((world_cup_matches9[[#This Row],[StageOrder]]&gt;=7),"High Pressure","Low Pressure")</f>
        <v>Low Pressure</v>
      </c>
      <c r="G32" t="s">
        <v>72</v>
      </c>
      <c r="H32">
        <v>3</v>
      </c>
      <c r="I32">
        <v>1</v>
      </c>
      <c r="J32" t="s">
        <v>49</v>
      </c>
      <c r="K32">
        <f>world_cup_matches9[[#This Row],[Home Goals]]+world_cup_matches9[[#This Row],[Away Goals]]</f>
        <v>4</v>
      </c>
      <c r="L32" t="s">
        <v>132</v>
      </c>
      <c r="M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" t="b">
        <v>0</v>
      </c>
    </row>
    <row r="33" spans="1:14" x14ac:dyDescent="0.3">
      <c r="A33">
        <v>278</v>
      </c>
      <c r="B33">
        <v>1978</v>
      </c>
      <c r="C33" s="2">
        <v>28644</v>
      </c>
      <c r="D33" s="3" cm="1">
        <f t="array" ref="D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3" t="s">
        <v>100</v>
      </c>
      <c r="F33" t="str">
        <f>IF((world_cup_matches9[[#This Row],[StageOrder]]&gt;=7),"High Pressure","Low Pressure")</f>
        <v>Low Pressure</v>
      </c>
      <c r="G33" t="s">
        <v>2</v>
      </c>
      <c r="H33">
        <v>3</v>
      </c>
      <c r="I33">
        <v>0</v>
      </c>
      <c r="J33" t="s">
        <v>4</v>
      </c>
      <c r="K33">
        <f>world_cup_matches9[[#This Row],[Home Goals]]+world_cup_matches9[[#This Row],[Away Goals]]</f>
        <v>3</v>
      </c>
      <c r="L33" t="s">
        <v>132</v>
      </c>
      <c r="M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" t="b">
        <v>0</v>
      </c>
    </row>
    <row r="34" spans="1:14" x14ac:dyDescent="0.3">
      <c r="A34">
        <v>279</v>
      </c>
      <c r="B34">
        <v>1978</v>
      </c>
      <c r="C34" s="2">
        <v>28647</v>
      </c>
      <c r="D34" s="3" cm="1">
        <f t="array" ref="D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4" t="s">
        <v>100</v>
      </c>
      <c r="F34" t="str">
        <f>IF((world_cup_matches9[[#This Row],[StageOrder]]&gt;=7),"High Pressure","Low Pressure")</f>
        <v>Low Pressure</v>
      </c>
      <c r="G34" t="s">
        <v>46</v>
      </c>
      <c r="H34">
        <v>3</v>
      </c>
      <c r="I34">
        <v>1</v>
      </c>
      <c r="J34" t="s">
        <v>52</v>
      </c>
      <c r="K34">
        <f>world_cup_matches9[[#This Row],[Home Goals]]+world_cup_matches9[[#This Row],[Away Goals]]</f>
        <v>4</v>
      </c>
      <c r="L34" t="s">
        <v>132</v>
      </c>
      <c r="M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" t="b">
        <v>0</v>
      </c>
    </row>
    <row r="35" spans="1:14" x14ac:dyDescent="0.3">
      <c r="A35">
        <v>280</v>
      </c>
      <c r="B35">
        <v>1978</v>
      </c>
      <c r="C35" s="2">
        <v>28647</v>
      </c>
      <c r="D35" s="3" cm="1">
        <f t="array" ref="D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5" t="s">
        <v>100</v>
      </c>
      <c r="F35" t="str">
        <f>IF((world_cup_matches9[[#This Row],[StageOrder]]&gt;=7),"High Pressure","Low Pressure")</f>
        <v>Low Pressure</v>
      </c>
      <c r="G35" t="s">
        <v>10</v>
      </c>
      <c r="H35">
        <v>1</v>
      </c>
      <c r="I35">
        <v>0</v>
      </c>
      <c r="J35" t="s">
        <v>14</v>
      </c>
      <c r="K35">
        <f>world_cup_matches9[[#This Row],[Home Goals]]+world_cup_matches9[[#This Row],[Away Goals]]</f>
        <v>1</v>
      </c>
      <c r="L35" t="s">
        <v>132</v>
      </c>
      <c r="M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" t="b">
        <v>0</v>
      </c>
    </row>
    <row r="36" spans="1:14" x14ac:dyDescent="0.3">
      <c r="A36">
        <v>281</v>
      </c>
      <c r="B36">
        <v>1978</v>
      </c>
      <c r="C36" s="2">
        <v>28647</v>
      </c>
      <c r="D36" s="3" cm="1">
        <f t="array" ref="D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6" t="s">
        <v>100</v>
      </c>
      <c r="F36" t="str">
        <f>IF((world_cup_matches9[[#This Row],[StageOrder]]&gt;=7),"High Pressure","Low Pressure")</f>
        <v>Low Pressure</v>
      </c>
      <c r="G36" t="s">
        <v>17</v>
      </c>
      <c r="H36">
        <v>6</v>
      </c>
      <c r="I36">
        <v>0</v>
      </c>
      <c r="J36" t="s">
        <v>9</v>
      </c>
      <c r="K36">
        <f>world_cup_matches9[[#This Row],[Home Goals]]+world_cup_matches9[[#This Row],[Away Goals]]</f>
        <v>6</v>
      </c>
      <c r="L36" t="s">
        <v>132</v>
      </c>
      <c r="M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" t="b">
        <v>0</v>
      </c>
    </row>
    <row r="37" spans="1:14" x14ac:dyDescent="0.3">
      <c r="A37">
        <v>282</v>
      </c>
      <c r="B37">
        <v>1978</v>
      </c>
      <c r="C37" s="2">
        <v>28647</v>
      </c>
      <c r="D37" s="3" cm="1">
        <f t="array" ref="D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7" t="s">
        <v>100</v>
      </c>
      <c r="F37" t="str">
        <f>IF((world_cup_matches9[[#This Row],[StageOrder]]&gt;=7),"High Pressure","Low Pressure")</f>
        <v>Low Pressure</v>
      </c>
      <c r="G37" t="s">
        <v>7</v>
      </c>
      <c r="H37">
        <v>2</v>
      </c>
      <c r="I37">
        <v>1</v>
      </c>
      <c r="J37" t="s">
        <v>11</v>
      </c>
      <c r="K37">
        <f>world_cup_matches9[[#This Row],[Home Goals]]+world_cup_matches9[[#This Row],[Away Goals]]</f>
        <v>3</v>
      </c>
      <c r="L37" t="s">
        <v>132</v>
      </c>
      <c r="M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" t="b">
        <v>1</v>
      </c>
    </row>
    <row r="38" spans="1:14" x14ac:dyDescent="0.3">
      <c r="A38">
        <v>283</v>
      </c>
      <c r="B38">
        <v>1978</v>
      </c>
      <c r="C38" s="2">
        <v>28648</v>
      </c>
      <c r="D38" s="3" cm="1">
        <f t="array" ref="D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8" t="s">
        <v>100</v>
      </c>
      <c r="F38" t="str">
        <f>IF((world_cup_matches9[[#This Row],[StageOrder]]&gt;=7),"High Pressure","Low Pressure")</f>
        <v>Low Pressure</v>
      </c>
      <c r="G38" t="s">
        <v>23</v>
      </c>
      <c r="H38">
        <v>0</v>
      </c>
      <c r="I38">
        <v>0</v>
      </c>
      <c r="J38" t="s">
        <v>15</v>
      </c>
      <c r="K38">
        <f>world_cup_matches9[[#This Row],[Home Goals]]+world_cup_matches9[[#This Row],[Away Goals]]</f>
        <v>0</v>
      </c>
      <c r="L38" t="s">
        <v>132</v>
      </c>
      <c r="M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" t="b">
        <v>0</v>
      </c>
    </row>
    <row r="39" spans="1:14" x14ac:dyDescent="0.3">
      <c r="A39">
        <v>284</v>
      </c>
      <c r="B39">
        <v>1978</v>
      </c>
      <c r="C39" s="2">
        <v>28648</v>
      </c>
      <c r="D39" s="3" cm="1">
        <f t="array" ref="D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39" t="s">
        <v>100</v>
      </c>
      <c r="F39" t="str">
        <f>IF((world_cup_matches9[[#This Row],[StageOrder]]&gt;=7),"High Pressure","Low Pressure")</f>
        <v>Low Pressure</v>
      </c>
      <c r="G39" t="s">
        <v>55</v>
      </c>
      <c r="H39">
        <v>1</v>
      </c>
      <c r="I39">
        <v>0</v>
      </c>
      <c r="J39" t="s">
        <v>62</v>
      </c>
      <c r="K39">
        <f>world_cup_matches9[[#This Row],[Home Goals]]+world_cup_matches9[[#This Row],[Away Goals]]</f>
        <v>1</v>
      </c>
      <c r="L39" t="s">
        <v>132</v>
      </c>
      <c r="M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" t="b">
        <v>0</v>
      </c>
    </row>
    <row r="40" spans="1:14" x14ac:dyDescent="0.3">
      <c r="A40">
        <v>285</v>
      </c>
      <c r="B40">
        <v>1978</v>
      </c>
      <c r="C40" s="2">
        <v>28648</v>
      </c>
      <c r="D40" s="3" cm="1">
        <f t="array" ref="D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0" t="s">
        <v>100</v>
      </c>
      <c r="F40" t="str">
        <f>IF((world_cup_matches9[[#This Row],[StageOrder]]&gt;=7),"High Pressure","Low Pressure")</f>
        <v>Low Pressure</v>
      </c>
      <c r="G40" t="s">
        <v>49</v>
      </c>
      <c r="H40">
        <v>1</v>
      </c>
      <c r="I40">
        <v>1</v>
      </c>
      <c r="J40" t="s">
        <v>4</v>
      </c>
      <c r="K40">
        <f>world_cup_matches9[[#This Row],[Home Goals]]+world_cup_matches9[[#This Row],[Away Goals]]</f>
        <v>2</v>
      </c>
      <c r="L40" t="s">
        <v>132</v>
      </c>
      <c r="M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" t="b">
        <v>0</v>
      </c>
    </row>
    <row r="41" spans="1:14" x14ac:dyDescent="0.3">
      <c r="A41">
        <v>286</v>
      </c>
      <c r="B41">
        <v>1978</v>
      </c>
      <c r="C41" s="2">
        <v>28648</v>
      </c>
      <c r="D41" s="3" cm="1">
        <f t="array" ref="D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1" t="s">
        <v>100</v>
      </c>
      <c r="F41" t="str">
        <f>IF((world_cup_matches9[[#This Row],[StageOrder]]&gt;=7),"High Pressure","Low Pressure")</f>
        <v>Low Pressure</v>
      </c>
      <c r="G41" t="s">
        <v>2</v>
      </c>
      <c r="H41">
        <v>0</v>
      </c>
      <c r="I41">
        <v>0</v>
      </c>
      <c r="J41" t="s">
        <v>72</v>
      </c>
      <c r="K41">
        <f>world_cup_matches9[[#This Row],[Home Goals]]+world_cup_matches9[[#This Row],[Away Goals]]</f>
        <v>0</v>
      </c>
      <c r="L41" t="s">
        <v>132</v>
      </c>
      <c r="M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" t="b">
        <v>0</v>
      </c>
    </row>
    <row r="42" spans="1:14" x14ac:dyDescent="0.3">
      <c r="A42">
        <v>287</v>
      </c>
      <c r="B42">
        <v>1978</v>
      </c>
      <c r="C42" s="2">
        <v>28651</v>
      </c>
      <c r="D42" s="3" cm="1">
        <f t="array" ref="D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2" t="s">
        <v>100</v>
      </c>
      <c r="F42" t="str">
        <f>IF((world_cup_matches9[[#This Row],[StageOrder]]&gt;=7),"High Pressure","Low Pressure")</f>
        <v>Low Pressure</v>
      </c>
      <c r="G42" t="s">
        <v>11</v>
      </c>
      <c r="H42">
        <v>3</v>
      </c>
      <c r="I42">
        <v>1</v>
      </c>
      <c r="J42" t="s">
        <v>52</v>
      </c>
      <c r="K42">
        <f>world_cup_matches9[[#This Row],[Home Goals]]+world_cup_matches9[[#This Row],[Away Goals]]</f>
        <v>4</v>
      </c>
      <c r="L42" t="s">
        <v>132</v>
      </c>
      <c r="M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" t="b">
        <v>0</v>
      </c>
    </row>
    <row r="43" spans="1:14" x14ac:dyDescent="0.3">
      <c r="A43">
        <v>288</v>
      </c>
      <c r="B43">
        <v>1978</v>
      </c>
      <c r="C43" s="2">
        <v>28651</v>
      </c>
      <c r="D43" s="3" cm="1">
        <f t="array" ref="D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3" t="s">
        <v>100</v>
      </c>
      <c r="F43" t="str">
        <f>IF((world_cup_matches9[[#This Row],[StageOrder]]&gt;=7),"High Pressure","Low Pressure")</f>
        <v>Low Pressure</v>
      </c>
      <c r="G43" t="s">
        <v>10</v>
      </c>
      <c r="H43">
        <v>3</v>
      </c>
      <c r="I43">
        <v>1</v>
      </c>
      <c r="J43" t="s">
        <v>9</v>
      </c>
      <c r="K43">
        <f>world_cup_matches9[[#This Row],[Home Goals]]+world_cup_matches9[[#This Row],[Away Goals]]</f>
        <v>4</v>
      </c>
      <c r="L43" t="s">
        <v>132</v>
      </c>
      <c r="M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" t="b">
        <v>0</v>
      </c>
    </row>
    <row r="44" spans="1:14" x14ac:dyDescent="0.3">
      <c r="A44">
        <v>289</v>
      </c>
      <c r="B44">
        <v>1978</v>
      </c>
      <c r="C44" s="2">
        <v>28651</v>
      </c>
      <c r="D44" s="3" cm="1">
        <f t="array" ref="D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4" t="s">
        <v>100</v>
      </c>
      <c r="F44" t="str">
        <f>IF((world_cup_matches9[[#This Row],[StageOrder]]&gt;=7),"High Pressure","Low Pressure")</f>
        <v>Low Pressure</v>
      </c>
      <c r="G44" t="s">
        <v>17</v>
      </c>
      <c r="H44">
        <v>0</v>
      </c>
      <c r="I44">
        <v>0</v>
      </c>
      <c r="J44" t="s">
        <v>14</v>
      </c>
      <c r="K44">
        <f>world_cup_matches9[[#This Row],[Home Goals]]+world_cup_matches9[[#This Row],[Away Goals]]</f>
        <v>0</v>
      </c>
      <c r="L44" t="s">
        <v>132</v>
      </c>
      <c r="M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" t="b">
        <v>0</v>
      </c>
    </row>
    <row r="45" spans="1:14" x14ac:dyDescent="0.3">
      <c r="A45">
        <v>290</v>
      </c>
      <c r="B45">
        <v>1978</v>
      </c>
      <c r="C45" s="2">
        <v>28651</v>
      </c>
      <c r="D45" s="3" cm="1">
        <f t="array" ref="D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5" t="s">
        <v>100</v>
      </c>
      <c r="F45" t="str">
        <f>IF((world_cup_matches9[[#This Row],[StageOrder]]&gt;=7),"High Pressure","Low Pressure")</f>
        <v>Low Pressure</v>
      </c>
      <c r="G45" t="s">
        <v>7</v>
      </c>
      <c r="H45">
        <v>0</v>
      </c>
      <c r="I45">
        <v>1</v>
      </c>
      <c r="J45" t="s">
        <v>46</v>
      </c>
      <c r="K45">
        <f>world_cup_matches9[[#This Row],[Home Goals]]+world_cup_matches9[[#This Row],[Away Goals]]</f>
        <v>1</v>
      </c>
      <c r="L45" t="s">
        <v>132</v>
      </c>
      <c r="M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" t="b">
        <v>1</v>
      </c>
    </row>
    <row r="46" spans="1:14" x14ac:dyDescent="0.3">
      <c r="A46">
        <v>291</v>
      </c>
      <c r="B46">
        <v>1978</v>
      </c>
      <c r="C46" s="2">
        <v>28652</v>
      </c>
      <c r="D46" s="3" cm="1">
        <f t="array" ref="D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6" t="s">
        <v>100</v>
      </c>
      <c r="F46" t="str">
        <f>IF((world_cup_matches9[[#This Row],[StageOrder]]&gt;=7),"High Pressure","Low Pressure")</f>
        <v>Low Pressure</v>
      </c>
      <c r="G46" t="s">
        <v>23</v>
      </c>
      <c r="H46">
        <v>1</v>
      </c>
      <c r="I46">
        <v>0</v>
      </c>
      <c r="J46" t="s">
        <v>55</v>
      </c>
      <c r="K46">
        <f>world_cup_matches9[[#This Row],[Home Goals]]+world_cup_matches9[[#This Row],[Away Goals]]</f>
        <v>1</v>
      </c>
      <c r="L46" t="s">
        <v>132</v>
      </c>
      <c r="M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" t="b">
        <v>0</v>
      </c>
    </row>
    <row r="47" spans="1:14" x14ac:dyDescent="0.3">
      <c r="A47">
        <v>292</v>
      </c>
      <c r="B47">
        <v>1978</v>
      </c>
      <c r="C47" s="2">
        <v>28652</v>
      </c>
      <c r="D47" s="3" cm="1">
        <f t="array" ref="D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7" t="s">
        <v>100</v>
      </c>
      <c r="F47" t="str">
        <f>IF((world_cup_matches9[[#This Row],[StageOrder]]&gt;=7),"High Pressure","Low Pressure")</f>
        <v>Low Pressure</v>
      </c>
      <c r="G47" t="s">
        <v>15</v>
      </c>
      <c r="H47">
        <v>1</v>
      </c>
      <c r="I47">
        <v>0</v>
      </c>
      <c r="J47" t="s">
        <v>62</v>
      </c>
      <c r="K47">
        <f>world_cup_matches9[[#This Row],[Home Goals]]+world_cup_matches9[[#This Row],[Away Goals]]</f>
        <v>1</v>
      </c>
      <c r="L47" t="s">
        <v>132</v>
      </c>
      <c r="M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" t="b">
        <v>0</v>
      </c>
    </row>
    <row r="48" spans="1:14" x14ac:dyDescent="0.3">
      <c r="A48">
        <v>293</v>
      </c>
      <c r="B48">
        <v>1978</v>
      </c>
      <c r="C48" s="2">
        <v>28652</v>
      </c>
      <c r="D48" s="3" cm="1">
        <f t="array" ref="D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8" t="s">
        <v>100</v>
      </c>
      <c r="F48" t="str">
        <f>IF((world_cup_matches9[[#This Row],[StageOrder]]&gt;=7),"High Pressure","Low Pressure")</f>
        <v>Low Pressure</v>
      </c>
      <c r="G48" t="s">
        <v>72</v>
      </c>
      <c r="H48">
        <v>4</v>
      </c>
      <c r="I48">
        <v>1</v>
      </c>
      <c r="J48" t="s">
        <v>4</v>
      </c>
      <c r="K48">
        <f>world_cup_matches9[[#This Row],[Home Goals]]+world_cup_matches9[[#This Row],[Away Goals]]</f>
        <v>5</v>
      </c>
      <c r="L48" t="s">
        <v>132</v>
      </c>
      <c r="M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" t="b">
        <v>0</v>
      </c>
    </row>
    <row r="49" spans="1:14" x14ac:dyDescent="0.3">
      <c r="A49">
        <v>294</v>
      </c>
      <c r="B49">
        <v>1978</v>
      </c>
      <c r="C49" s="2">
        <v>28652</v>
      </c>
      <c r="D49" s="3" cm="1">
        <f t="array" ref="D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49" t="s">
        <v>100</v>
      </c>
      <c r="F49" t="str">
        <f>IF((world_cup_matches9[[#This Row],[StageOrder]]&gt;=7),"High Pressure","Low Pressure")</f>
        <v>Low Pressure</v>
      </c>
      <c r="G49" t="s">
        <v>49</v>
      </c>
      <c r="H49">
        <v>3</v>
      </c>
      <c r="I49">
        <v>2</v>
      </c>
      <c r="J49" t="s">
        <v>2</v>
      </c>
      <c r="K49">
        <f>world_cup_matches9[[#This Row],[Home Goals]]+world_cup_matches9[[#This Row],[Away Goals]]</f>
        <v>5</v>
      </c>
      <c r="L49" t="s">
        <v>132</v>
      </c>
      <c r="M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" t="b">
        <v>0</v>
      </c>
    </row>
    <row r="50" spans="1:14" x14ac:dyDescent="0.3">
      <c r="A50">
        <v>309</v>
      </c>
      <c r="B50">
        <v>1982</v>
      </c>
      <c r="C50" s="2">
        <v>30115</v>
      </c>
      <c r="D50" s="3" cm="1">
        <f t="array" ref="D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0" t="s">
        <v>100</v>
      </c>
      <c r="F50" t="str">
        <f>IF((world_cup_matches9[[#This Row],[StageOrder]]&gt;=7),"High Pressure","Low Pressure")</f>
        <v>Low Pressure</v>
      </c>
      <c r="G50" t="s">
        <v>7</v>
      </c>
      <c r="H50">
        <v>0</v>
      </c>
      <c r="I50">
        <v>1</v>
      </c>
      <c r="J50" t="s">
        <v>19</v>
      </c>
      <c r="K50">
        <f>world_cup_matches9[[#This Row],[Home Goals]]+world_cup_matches9[[#This Row],[Away Goals]]</f>
        <v>1</v>
      </c>
      <c r="L50" t="s">
        <v>132</v>
      </c>
      <c r="M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" t="b">
        <v>0</v>
      </c>
    </row>
    <row r="51" spans="1:14" x14ac:dyDescent="0.3">
      <c r="A51">
        <v>310</v>
      </c>
      <c r="B51">
        <v>1982</v>
      </c>
      <c r="C51" s="2">
        <v>30116</v>
      </c>
      <c r="D51" s="3" cm="1">
        <f t="array" ref="D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1" t="s">
        <v>100</v>
      </c>
      <c r="F51" t="str">
        <f>IF((world_cup_matches9[[#This Row],[StageOrder]]&gt;=7),"High Pressure","Low Pressure")</f>
        <v>Low Pressure</v>
      </c>
      <c r="G51" t="s">
        <v>46</v>
      </c>
      <c r="H51">
        <v>0</v>
      </c>
      <c r="I51">
        <v>0</v>
      </c>
      <c r="J51" t="s">
        <v>10</v>
      </c>
      <c r="K51">
        <f>world_cup_matches9[[#This Row],[Home Goals]]+world_cup_matches9[[#This Row],[Away Goals]]</f>
        <v>0</v>
      </c>
      <c r="L51" t="s">
        <v>132</v>
      </c>
      <c r="M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" t="b">
        <v>0</v>
      </c>
    </row>
    <row r="52" spans="1:14" x14ac:dyDescent="0.3">
      <c r="A52">
        <v>311</v>
      </c>
      <c r="B52">
        <v>1982</v>
      </c>
      <c r="C52" s="2">
        <v>30116</v>
      </c>
      <c r="D52" s="3" cm="1">
        <f t="array" ref="D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2" t="s">
        <v>100</v>
      </c>
      <c r="F52" t="str">
        <f>IF((world_cup_matches9[[#This Row],[StageOrder]]&gt;=7),"High Pressure","Low Pressure")</f>
        <v>Low Pressure</v>
      </c>
      <c r="G52" t="s">
        <v>23</v>
      </c>
      <c r="H52">
        <v>2</v>
      </c>
      <c r="I52">
        <v>1</v>
      </c>
      <c r="J52" t="s">
        <v>54</v>
      </c>
      <c r="K52">
        <f>world_cup_matches9[[#This Row],[Home Goals]]+world_cup_matches9[[#This Row],[Away Goals]]</f>
        <v>3</v>
      </c>
      <c r="L52" t="s">
        <v>132</v>
      </c>
      <c r="M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" t="b">
        <v>0</v>
      </c>
    </row>
    <row r="53" spans="1:14" x14ac:dyDescent="0.3">
      <c r="A53">
        <v>312</v>
      </c>
      <c r="B53">
        <v>1982</v>
      </c>
      <c r="C53" s="2">
        <v>30117</v>
      </c>
      <c r="D53" s="3" cm="1">
        <f t="array" ref="D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3" t="s">
        <v>100</v>
      </c>
      <c r="F53" t="str">
        <f>IF((world_cup_matches9[[#This Row],[StageOrder]]&gt;=7),"High Pressure","Low Pressure")</f>
        <v>Low Pressure</v>
      </c>
      <c r="G53" t="s">
        <v>72</v>
      </c>
      <c r="H53">
        <v>0</v>
      </c>
      <c r="I53">
        <v>0</v>
      </c>
      <c r="J53" t="s">
        <v>26</v>
      </c>
      <c r="K53">
        <f>world_cup_matches9[[#This Row],[Home Goals]]+world_cup_matches9[[#This Row],[Away Goals]]</f>
        <v>0</v>
      </c>
      <c r="L53" t="s">
        <v>132</v>
      </c>
      <c r="M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" t="b">
        <v>0</v>
      </c>
    </row>
    <row r="54" spans="1:14" x14ac:dyDescent="0.3">
      <c r="A54">
        <v>313</v>
      </c>
      <c r="B54">
        <v>1982</v>
      </c>
      <c r="C54" s="2">
        <v>30117</v>
      </c>
      <c r="D54" s="3" cm="1">
        <f t="array" ref="D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4" t="s">
        <v>100</v>
      </c>
      <c r="F54" t="str">
        <f>IF((world_cup_matches9[[#This Row],[StageOrder]]&gt;=7),"High Pressure","Low Pressure")</f>
        <v>Low Pressure</v>
      </c>
      <c r="G54" t="s">
        <v>52</v>
      </c>
      <c r="H54">
        <v>10</v>
      </c>
      <c r="I54">
        <v>1</v>
      </c>
      <c r="J54" t="s">
        <v>66</v>
      </c>
      <c r="K54">
        <f>world_cup_matches9[[#This Row],[Home Goals]]+world_cup_matches9[[#This Row],[Away Goals]]</f>
        <v>11</v>
      </c>
      <c r="L54" t="s">
        <v>132</v>
      </c>
      <c r="M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" t="b">
        <v>0</v>
      </c>
    </row>
    <row r="55" spans="1:14" x14ac:dyDescent="0.3">
      <c r="A55">
        <v>314</v>
      </c>
      <c r="B55">
        <v>1982</v>
      </c>
      <c r="C55" s="2">
        <v>30117</v>
      </c>
      <c r="D55" s="3" cm="1">
        <f t="array" ref="D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5" t="s">
        <v>100</v>
      </c>
      <c r="F55" t="str">
        <f>IF((world_cup_matches9[[#This Row],[StageOrder]]&gt;=7),"High Pressure","Low Pressure")</f>
        <v>Low Pressure</v>
      </c>
      <c r="G55" t="s">
        <v>49</v>
      </c>
      <c r="H55">
        <v>5</v>
      </c>
      <c r="I55">
        <v>2</v>
      </c>
      <c r="J55" t="s">
        <v>67</v>
      </c>
      <c r="K55">
        <f>world_cup_matches9[[#This Row],[Home Goals]]+world_cup_matches9[[#This Row],[Away Goals]]</f>
        <v>7</v>
      </c>
      <c r="L55" t="s">
        <v>132</v>
      </c>
      <c r="M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" t="b">
        <v>0</v>
      </c>
    </row>
    <row r="56" spans="1:14" x14ac:dyDescent="0.3">
      <c r="A56">
        <v>315</v>
      </c>
      <c r="B56">
        <v>1982</v>
      </c>
      <c r="C56" s="2">
        <v>30118</v>
      </c>
      <c r="D56" s="3" cm="1">
        <f t="array" ref="D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6" t="s">
        <v>100</v>
      </c>
      <c r="F56" t="str">
        <f>IF((world_cup_matches9[[#This Row],[StageOrder]]&gt;=7),"High Pressure","Low Pressure")</f>
        <v>Low Pressure</v>
      </c>
      <c r="G56" t="s">
        <v>17</v>
      </c>
      <c r="H56">
        <v>1</v>
      </c>
      <c r="I56">
        <v>2</v>
      </c>
      <c r="J56" t="s">
        <v>88</v>
      </c>
      <c r="K56">
        <f>world_cup_matches9[[#This Row],[Home Goals]]+world_cup_matches9[[#This Row],[Away Goals]]</f>
        <v>3</v>
      </c>
      <c r="L56" t="s">
        <v>132</v>
      </c>
      <c r="M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" t="b">
        <v>0</v>
      </c>
    </row>
    <row r="57" spans="1:14" x14ac:dyDescent="0.3">
      <c r="A57">
        <v>316</v>
      </c>
      <c r="B57">
        <v>1982</v>
      </c>
      <c r="C57" s="2">
        <v>30118</v>
      </c>
      <c r="D57" s="3" cm="1">
        <f t="array" ref="D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7" t="s">
        <v>100</v>
      </c>
      <c r="F57" t="str">
        <f>IF((world_cup_matches9[[#This Row],[StageOrder]]&gt;=7),"High Pressure","Low Pressure")</f>
        <v>Low Pressure</v>
      </c>
      <c r="G57" t="s">
        <v>3</v>
      </c>
      <c r="H57">
        <v>3</v>
      </c>
      <c r="I57">
        <v>1</v>
      </c>
      <c r="J57" t="s">
        <v>11</v>
      </c>
      <c r="K57">
        <f>world_cup_matches9[[#This Row],[Home Goals]]+world_cup_matches9[[#This Row],[Away Goals]]</f>
        <v>4</v>
      </c>
      <c r="L57" t="s">
        <v>132</v>
      </c>
      <c r="M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" t="b">
        <v>0</v>
      </c>
    </row>
    <row r="58" spans="1:14" x14ac:dyDescent="0.3">
      <c r="A58">
        <v>317</v>
      </c>
      <c r="B58">
        <v>1982</v>
      </c>
      <c r="C58" s="2">
        <v>30118</v>
      </c>
      <c r="D58" s="3" cm="1">
        <f t="array" ref="D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8" t="s">
        <v>100</v>
      </c>
      <c r="F58" t="str">
        <f>IF((world_cup_matches9[[#This Row],[StageOrder]]&gt;=7),"High Pressure","Low Pressure")</f>
        <v>Low Pressure</v>
      </c>
      <c r="G58" t="s">
        <v>15</v>
      </c>
      <c r="H58">
        <v>1</v>
      </c>
      <c r="I58">
        <v>1</v>
      </c>
      <c r="J58" t="s">
        <v>79</v>
      </c>
      <c r="K58">
        <f>world_cup_matches9[[#This Row],[Home Goals]]+world_cup_matches9[[#This Row],[Away Goals]]</f>
        <v>2</v>
      </c>
      <c r="L58" t="s">
        <v>132</v>
      </c>
      <c r="M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" t="b">
        <v>1</v>
      </c>
    </row>
    <row r="59" spans="1:14" x14ac:dyDescent="0.3">
      <c r="A59">
        <v>318</v>
      </c>
      <c r="B59">
        <v>1982</v>
      </c>
      <c r="C59" s="2">
        <v>30119</v>
      </c>
      <c r="D59" s="3" cm="1">
        <f t="array" ref="D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59" t="s">
        <v>100</v>
      </c>
      <c r="F59" t="str">
        <f>IF((world_cup_matches9[[#This Row],[StageOrder]]&gt;=7),"High Pressure","Low Pressure")</f>
        <v>Low Pressure</v>
      </c>
      <c r="G59" t="s">
        <v>63</v>
      </c>
      <c r="H59">
        <v>0</v>
      </c>
      <c r="I59">
        <v>1</v>
      </c>
      <c r="J59" t="s">
        <v>55</v>
      </c>
      <c r="K59">
        <f>world_cup_matches9[[#This Row],[Home Goals]]+world_cup_matches9[[#This Row],[Away Goals]]</f>
        <v>1</v>
      </c>
      <c r="L59" t="s">
        <v>132</v>
      </c>
      <c r="M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" t="b">
        <v>0</v>
      </c>
    </row>
    <row r="60" spans="1:14" x14ac:dyDescent="0.3">
      <c r="A60">
        <v>319</v>
      </c>
      <c r="B60">
        <v>1982</v>
      </c>
      <c r="C60" s="2">
        <v>30119</v>
      </c>
      <c r="D60" s="3" cm="1">
        <f t="array" ref="D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0" t="s">
        <v>100</v>
      </c>
      <c r="F60" t="str">
        <f>IF((world_cup_matches9[[#This Row],[StageOrder]]&gt;=7),"High Pressure","Low Pressure")</f>
        <v>Low Pressure</v>
      </c>
      <c r="G60" t="s">
        <v>61</v>
      </c>
      <c r="H60">
        <v>1</v>
      </c>
      <c r="I60">
        <v>1</v>
      </c>
      <c r="J60" t="s">
        <v>50</v>
      </c>
      <c r="K60">
        <f>world_cup_matches9[[#This Row],[Home Goals]]+world_cup_matches9[[#This Row],[Away Goals]]</f>
        <v>2</v>
      </c>
      <c r="L60" t="s">
        <v>132</v>
      </c>
      <c r="M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" t="b">
        <v>0</v>
      </c>
    </row>
    <row r="61" spans="1:14" x14ac:dyDescent="0.3">
      <c r="A61">
        <v>320</v>
      </c>
      <c r="B61">
        <v>1982</v>
      </c>
      <c r="C61" s="2">
        <v>30119</v>
      </c>
      <c r="D61" s="3" cm="1">
        <f t="array" ref="D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1" t="s">
        <v>100</v>
      </c>
      <c r="F61" t="str">
        <f>IF((world_cup_matches9[[#This Row],[StageOrder]]&gt;=7),"High Pressure","Low Pressure")</f>
        <v>Low Pressure</v>
      </c>
      <c r="G61" t="s">
        <v>69</v>
      </c>
      <c r="H61">
        <v>0</v>
      </c>
      <c r="I61">
        <v>0</v>
      </c>
      <c r="J61" t="s">
        <v>60</v>
      </c>
      <c r="K61">
        <f>world_cup_matches9[[#This Row],[Home Goals]]+world_cup_matches9[[#This Row],[Away Goals]]</f>
        <v>0</v>
      </c>
      <c r="L61" t="s">
        <v>132</v>
      </c>
      <c r="M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" t="b">
        <v>0</v>
      </c>
    </row>
    <row r="62" spans="1:14" x14ac:dyDescent="0.3">
      <c r="A62">
        <v>321</v>
      </c>
      <c r="B62">
        <v>1982</v>
      </c>
      <c r="C62" s="2">
        <v>30120</v>
      </c>
      <c r="D62" s="3" cm="1">
        <f t="array" ref="D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2" t="s">
        <v>100</v>
      </c>
      <c r="F62" t="str">
        <f>IF((world_cup_matches9[[#This Row],[StageOrder]]&gt;=7),"High Pressure","Low Pressure")</f>
        <v>Low Pressure</v>
      </c>
      <c r="G62" t="s">
        <v>46</v>
      </c>
      <c r="H62">
        <v>1</v>
      </c>
      <c r="I62">
        <v>1</v>
      </c>
      <c r="J62" t="s">
        <v>72</v>
      </c>
      <c r="K62">
        <f>world_cup_matches9[[#This Row],[Home Goals]]+world_cup_matches9[[#This Row],[Away Goals]]</f>
        <v>2</v>
      </c>
      <c r="L62" t="s">
        <v>132</v>
      </c>
      <c r="M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" t="b">
        <v>0</v>
      </c>
    </row>
    <row r="63" spans="1:14" x14ac:dyDescent="0.3">
      <c r="A63">
        <v>322</v>
      </c>
      <c r="B63">
        <v>1982</v>
      </c>
      <c r="C63" s="2">
        <v>30120</v>
      </c>
      <c r="D63" s="3" cm="1">
        <f t="array" ref="D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3" t="s">
        <v>100</v>
      </c>
      <c r="F63" t="str">
        <f>IF((world_cup_matches9[[#This Row],[StageOrder]]&gt;=7),"High Pressure","Low Pressure")</f>
        <v>Low Pressure</v>
      </c>
      <c r="G63" t="s">
        <v>7</v>
      </c>
      <c r="H63">
        <v>4</v>
      </c>
      <c r="I63">
        <v>1</v>
      </c>
      <c r="J63" t="s">
        <v>52</v>
      </c>
      <c r="K63">
        <f>world_cup_matches9[[#This Row],[Home Goals]]+world_cup_matches9[[#This Row],[Away Goals]]</f>
        <v>5</v>
      </c>
      <c r="L63" t="s">
        <v>132</v>
      </c>
      <c r="M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" t="b">
        <v>0</v>
      </c>
    </row>
    <row r="64" spans="1:14" x14ac:dyDescent="0.3">
      <c r="A64">
        <v>323</v>
      </c>
      <c r="B64">
        <v>1982</v>
      </c>
      <c r="C64" s="2">
        <v>30120</v>
      </c>
      <c r="D64" s="3" cm="1">
        <f t="array" ref="D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4" t="s">
        <v>100</v>
      </c>
      <c r="F64" t="str">
        <f>IF((world_cup_matches9[[#This Row],[StageOrder]]&gt;=7),"High Pressure","Low Pressure")</f>
        <v>Low Pressure</v>
      </c>
      <c r="G64" t="s">
        <v>23</v>
      </c>
      <c r="H64">
        <v>4</v>
      </c>
      <c r="I64">
        <v>1</v>
      </c>
      <c r="J64" t="s">
        <v>49</v>
      </c>
      <c r="K64">
        <f>world_cup_matches9[[#This Row],[Home Goals]]+world_cup_matches9[[#This Row],[Away Goals]]</f>
        <v>5</v>
      </c>
      <c r="L64" t="s">
        <v>132</v>
      </c>
      <c r="M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" t="b">
        <v>0</v>
      </c>
    </row>
    <row r="65" spans="1:14" x14ac:dyDescent="0.3">
      <c r="A65">
        <v>324</v>
      </c>
      <c r="B65">
        <v>1982</v>
      </c>
      <c r="C65" s="2">
        <v>30121</v>
      </c>
      <c r="D65" s="3" cm="1">
        <f t="array" ref="D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5" t="s">
        <v>100</v>
      </c>
      <c r="F65" t="str">
        <f>IF((world_cup_matches9[[#This Row],[StageOrder]]&gt;=7),"High Pressure","Low Pressure")</f>
        <v>Low Pressure</v>
      </c>
      <c r="G65" t="s">
        <v>10</v>
      </c>
      <c r="H65">
        <v>0</v>
      </c>
      <c r="I65">
        <v>0</v>
      </c>
      <c r="J65" t="s">
        <v>26</v>
      </c>
      <c r="K65">
        <f>world_cup_matches9[[#This Row],[Home Goals]]+world_cup_matches9[[#This Row],[Away Goals]]</f>
        <v>0</v>
      </c>
      <c r="L65" t="s">
        <v>132</v>
      </c>
      <c r="M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" t="b">
        <v>0</v>
      </c>
    </row>
    <row r="66" spans="1:14" x14ac:dyDescent="0.3">
      <c r="A66">
        <v>325</v>
      </c>
      <c r="B66">
        <v>1982</v>
      </c>
      <c r="C66" s="2">
        <v>30121</v>
      </c>
      <c r="D66" s="3" cm="1">
        <f t="array" ref="D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6" t="s">
        <v>100</v>
      </c>
      <c r="F66" t="str">
        <f>IF((world_cup_matches9[[#This Row],[StageOrder]]&gt;=7),"High Pressure","Low Pressure")</f>
        <v>Low Pressure</v>
      </c>
      <c r="G66" t="s">
        <v>19</v>
      </c>
      <c r="H66">
        <v>1</v>
      </c>
      <c r="I66">
        <v>0</v>
      </c>
      <c r="J66" t="s">
        <v>66</v>
      </c>
      <c r="K66">
        <f>world_cup_matches9[[#This Row],[Home Goals]]+world_cup_matches9[[#This Row],[Away Goals]]</f>
        <v>1</v>
      </c>
      <c r="L66" t="s">
        <v>132</v>
      </c>
      <c r="M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" t="b">
        <v>0</v>
      </c>
    </row>
    <row r="67" spans="1:14" x14ac:dyDescent="0.3">
      <c r="A67">
        <v>326</v>
      </c>
      <c r="B67">
        <v>1982</v>
      </c>
      <c r="C67" s="2">
        <v>30121</v>
      </c>
      <c r="D67" s="3" cm="1">
        <f t="array" ref="D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7" t="s">
        <v>100</v>
      </c>
      <c r="F67" t="str">
        <f>IF((world_cup_matches9[[#This Row],[StageOrder]]&gt;=7),"High Pressure","Low Pressure")</f>
        <v>Low Pressure</v>
      </c>
      <c r="G67" t="s">
        <v>54</v>
      </c>
      <c r="H67">
        <v>3</v>
      </c>
      <c r="I67">
        <v>0</v>
      </c>
      <c r="J67" t="s">
        <v>67</v>
      </c>
      <c r="K67">
        <f>world_cup_matches9[[#This Row],[Home Goals]]+world_cup_matches9[[#This Row],[Away Goals]]</f>
        <v>3</v>
      </c>
      <c r="L67" t="s">
        <v>132</v>
      </c>
      <c r="M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" t="b">
        <v>0</v>
      </c>
    </row>
    <row r="68" spans="1:14" x14ac:dyDescent="0.3">
      <c r="A68">
        <v>327</v>
      </c>
      <c r="B68">
        <v>1982</v>
      </c>
      <c r="C68" s="2">
        <v>30122</v>
      </c>
      <c r="D68" s="3" cm="1">
        <f t="array" ref="D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8" t="s">
        <v>100</v>
      </c>
      <c r="F68" t="str">
        <f>IF((world_cup_matches9[[#This Row],[StageOrder]]&gt;=7),"High Pressure","Low Pressure")</f>
        <v>Low Pressure</v>
      </c>
      <c r="G68" t="s">
        <v>17</v>
      </c>
      <c r="H68">
        <v>4</v>
      </c>
      <c r="I68">
        <v>1</v>
      </c>
      <c r="J68" t="s">
        <v>63</v>
      </c>
      <c r="K68">
        <f>world_cup_matches9[[#This Row],[Home Goals]]+world_cup_matches9[[#This Row],[Away Goals]]</f>
        <v>5</v>
      </c>
      <c r="L68" t="s">
        <v>132</v>
      </c>
      <c r="M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" t="b">
        <v>0</v>
      </c>
    </row>
    <row r="69" spans="1:14" x14ac:dyDescent="0.3">
      <c r="A69">
        <v>328</v>
      </c>
      <c r="B69">
        <v>1982</v>
      </c>
      <c r="C69" s="2">
        <v>30122</v>
      </c>
      <c r="D69" s="3" cm="1">
        <f t="array" ref="D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69" t="s">
        <v>100</v>
      </c>
      <c r="F69" t="str">
        <f>IF((world_cup_matches9[[#This Row],[StageOrder]]&gt;=7),"High Pressure","Low Pressure")</f>
        <v>Low Pressure</v>
      </c>
      <c r="G69" t="s">
        <v>3</v>
      </c>
      <c r="H69">
        <v>2</v>
      </c>
      <c r="I69">
        <v>0</v>
      </c>
      <c r="J69" t="s">
        <v>61</v>
      </c>
      <c r="K69">
        <f>world_cup_matches9[[#This Row],[Home Goals]]+world_cup_matches9[[#This Row],[Away Goals]]</f>
        <v>2</v>
      </c>
      <c r="L69" t="s">
        <v>132</v>
      </c>
      <c r="M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" t="b">
        <v>0</v>
      </c>
    </row>
    <row r="70" spans="1:14" x14ac:dyDescent="0.3">
      <c r="A70">
        <v>329</v>
      </c>
      <c r="B70">
        <v>1982</v>
      </c>
      <c r="C70" s="2">
        <v>30122</v>
      </c>
      <c r="D70" s="3" cm="1">
        <f t="array" ref="D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0" t="s">
        <v>100</v>
      </c>
      <c r="F70" t="str">
        <f>IF((world_cup_matches9[[#This Row],[StageOrder]]&gt;=7),"High Pressure","Low Pressure")</f>
        <v>Low Pressure</v>
      </c>
      <c r="G70" t="s">
        <v>15</v>
      </c>
      <c r="H70">
        <v>2</v>
      </c>
      <c r="I70">
        <v>1</v>
      </c>
      <c r="J70" t="s">
        <v>69</v>
      </c>
      <c r="K70">
        <f>world_cup_matches9[[#This Row],[Home Goals]]+world_cup_matches9[[#This Row],[Away Goals]]</f>
        <v>3</v>
      </c>
      <c r="L70" t="s">
        <v>132</v>
      </c>
      <c r="M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" t="b">
        <v>1</v>
      </c>
    </row>
    <row r="71" spans="1:14" x14ac:dyDescent="0.3">
      <c r="A71">
        <v>330</v>
      </c>
      <c r="B71">
        <v>1982</v>
      </c>
      <c r="C71" s="2">
        <v>30123</v>
      </c>
      <c r="D71" s="3" cm="1">
        <f t="array" ref="D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1" t="s">
        <v>100</v>
      </c>
      <c r="F71" t="str">
        <f>IF((world_cup_matches9[[#This Row],[StageOrder]]&gt;=7),"High Pressure","Low Pressure")</f>
        <v>Low Pressure</v>
      </c>
      <c r="G71" t="s">
        <v>88</v>
      </c>
      <c r="H71">
        <v>0</v>
      </c>
      <c r="I71">
        <v>2</v>
      </c>
      <c r="J71" t="s">
        <v>55</v>
      </c>
      <c r="K71">
        <f>world_cup_matches9[[#This Row],[Home Goals]]+world_cup_matches9[[#This Row],[Away Goals]]</f>
        <v>2</v>
      </c>
      <c r="L71" t="s">
        <v>132</v>
      </c>
      <c r="M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" t="b">
        <v>0</v>
      </c>
    </row>
    <row r="72" spans="1:14" x14ac:dyDescent="0.3">
      <c r="A72">
        <v>331</v>
      </c>
      <c r="B72">
        <v>1982</v>
      </c>
      <c r="C72" s="2">
        <v>30123</v>
      </c>
      <c r="D72" s="3" cm="1">
        <f t="array" ref="D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2" t="s">
        <v>100</v>
      </c>
      <c r="F72" t="str">
        <f>IF((world_cup_matches9[[#This Row],[StageOrder]]&gt;=7),"High Pressure","Low Pressure")</f>
        <v>Low Pressure</v>
      </c>
      <c r="G72" t="s">
        <v>11</v>
      </c>
      <c r="H72">
        <v>4</v>
      </c>
      <c r="I72">
        <v>1</v>
      </c>
      <c r="J72" t="s">
        <v>50</v>
      </c>
      <c r="K72">
        <f>world_cup_matches9[[#This Row],[Home Goals]]+world_cup_matches9[[#This Row],[Away Goals]]</f>
        <v>5</v>
      </c>
      <c r="L72" t="s">
        <v>132</v>
      </c>
      <c r="M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" t="b">
        <v>0</v>
      </c>
    </row>
    <row r="73" spans="1:14" x14ac:dyDescent="0.3">
      <c r="A73">
        <v>332</v>
      </c>
      <c r="B73">
        <v>1982</v>
      </c>
      <c r="C73" s="2">
        <v>30123</v>
      </c>
      <c r="D73" s="3" cm="1">
        <f t="array" ref="D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3" t="s">
        <v>100</v>
      </c>
      <c r="F73" t="str">
        <f>IF((world_cup_matches9[[#This Row],[StageOrder]]&gt;=7),"High Pressure","Low Pressure")</f>
        <v>Low Pressure</v>
      </c>
      <c r="G73" t="s">
        <v>79</v>
      </c>
      <c r="H73">
        <v>1</v>
      </c>
      <c r="I73">
        <v>1</v>
      </c>
      <c r="J73" t="s">
        <v>60</v>
      </c>
      <c r="K73">
        <f>world_cup_matches9[[#This Row],[Home Goals]]+world_cup_matches9[[#This Row],[Away Goals]]</f>
        <v>2</v>
      </c>
      <c r="L73" t="s">
        <v>132</v>
      </c>
      <c r="M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" t="b">
        <v>0</v>
      </c>
    </row>
    <row r="74" spans="1:14" x14ac:dyDescent="0.3">
      <c r="A74">
        <v>333</v>
      </c>
      <c r="B74">
        <v>1982</v>
      </c>
      <c r="C74" s="2">
        <v>30124</v>
      </c>
      <c r="D74" s="3" cm="1">
        <f t="array" ref="D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4" t="s">
        <v>100</v>
      </c>
      <c r="F74" t="str">
        <f>IF((world_cup_matches9[[#This Row],[StageOrder]]&gt;=7),"High Pressure","Low Pressure")</f>
        <v>Low Pressure</v>
      </c>
      <c r="G74" t="s">
        <v>10</v>
      </c>
      <c r="H74">
        <v>5</v>
      </c>
      <c r="I74">
        <v>1</v>
      </c>
      <c r="J74" t="s">
        <v>72</v>
      </c>
      <c r="K74">
        <f>world_cup_matches9[[#This Row],[Home Goals]]+world_cup_matches9[[#This Row],[Away Goals]]</f>
        <v>6</v>
      </c>
      <c r="L74" t="s">
        <v>132</v>
      </c>
      <c r="M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4" t="b">
        <v>0</v>
      </c>
    </row>
    <row r="75" spans="1:14" x14ac:dyDescent="0.3">
      <c r="A75">
        <v>334</v>
      </c>
      <c r="B75">
        <v>1982</v>
      </c>
      <c r="C75" s="2">
        <v>30124</v>
      </c>
      <c r="D75" s="3" cm="1">
        <f t="array" ref="D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5" t="s">
        <v>100</v>
      </c>
      <c r="F75" t="str">
        <f>IF((world_cup_matches9[[#This Row],[StageOrder]]&gt;=7),"High Pressure","Low Pressure")</f>
        <v>Low Pressure</v>
      </c>
      <c r="G75" t="s">
        <v>19</v>
      </c>
      <c r="H75">
        <v>1</v>
      </c>
      <c r="I75">
        <v>1</v>
      </c>
      <c r="J75" t="s">
        <v>52</v>
      </c>
      <c r="K75">
        <f>world_cup_matches9[[#This Row],[Home Goals]]+world_cup_matches9[[#This Row],[Away Goals]]</f>
        <v>2</v>
      </c>
      <c r="L75" t="s">
        <v>132</v>
      </c>
      <c r="M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" t="b">
        <v>0</v>
      </c>
    </row>
    <row r="76" spans="1:14" x14ac:dyDescent="0.3">
      <c r="A76">
        <v>335</v>
      </c>
      <c r="B76">
        <v>1982</v>
      </c>
      <c r="C76" s="2">
        <v>30124</v>
      </c>
      <c r="D76" s="3" cm="1">
        <f t="array" ref="D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6" t="s">
        <v>100</v>
      </c>
      <c r="F76" t="str">
        <f>IF((world_cup_matches9[[#This Row],[StageOrder]]&gt;=7),"High Pressure","Low Pressure")</f>
        <v>Low Pressure</v>
      </c>
      <c r="G76" t="s">
        <v>54</v>
      </c>
      <c r="H76">
        <v>2</v>
      </c>
      <c r="I76">
        <v>2</v>
      </c>
      <c r="J76" t="s">
        <v>49</v>
      </c>
      <c r="K76">
        <f>world_cup_matches9[[#This Row],[Home Goals]]+world_cup_matches9[[#This Row],[Away Goals]]</f>
        <v>4</v>
      </c>
      <c r="L76" t="s">
        <v>132</v>
      </c>
      <c r="M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" t="b">
        <v>0</v>
      </c>
    </row>
    <row r="77" spans="1:14" x14ac:dyDescent="0.3">
      <c r="A77">
        <v>336</v>
      </c>
      <c r="B77">
        <v>1982</v>
      </c>
      <c r="C77" s="2">
        <v>30125</v>
      </c>
      <c r="D77" s="3" cm="1">
        <f t="array" ref="D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7" t="s">
        <v>100</v>
      </c>
      <c r="F77" t="str">
        <f>IF((world_cup_matches9[[#This Row],[StageOrder]]&gt;=7),"High Pressure","Low Pressure")</f>
        <v>Low Pressure</v>
      </c>
      <c r="G77" t="s">
        <v>46</v>
      </c>
      <c r="H77">
        <v>1</v>
      </c>
      <c r="I77">
        <v>1</v>
      </c>
      <c r="J77" t="s">
        <v>26</v>
      </c>
      <c r="K77">
        <f>world_cup_matches9[[#This Row],[Home Goals]]+world_cup_matches9[[#This Row],[Away Goals]]</f>
        <v>2</v>
      </c>
      <c r="L77" t="s">
        <v>132</v>
      </c>
      <c r="M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" t="b">
        <v>0</v>
      </c>
    </row>
    <row r="78" spans="1:14" x14ac:dyDescent="0.3">
      <c r="A78">
        <v>337</v>
      </c>
      <c r="B78">
        <v>1982</v>
      </c>
      <c r="C78" s="2">
        <v>30125</v>
      </c>
      <c r="D78" s="3" cm="1">
        <f t="array" ref="D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8" t="s">
        <v>100</v>
      </c>
      <c r="F78" t="str">
        <f>IF((world_cup_matches9[[#This Row],[StageOrder]]&gt;=7),"High Pressure","Low Pressure")</f>
        <v>Low Pressure</v>
      </c>
      <c r="G78" t="s">
        <v>7</v>
      </c>
      <c r="H78">
        <v>2</v>
      </c>
      <c r="I78">
        <v>0</v>
      </c>
      <c r="J78" t="s">
        <v>66</v>
      </c>
      <c r="K78">
        <f>world_cup_matches9[[#This Row],[Home Goals]]+world_cup_matches9[[#This Row],[Away Goals]]</f>
        <v>2</v>
      </c>
      <c r="L78" t="s">
        <v>132</v>
      </c>
      <c r="M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8" t="b">
        <v>0</v>
      </c>
    </row>
    <row r="79" spans="1:14" x14ac:dyDescent="0.3">
      <c r="A79">
        <v>338</v>
      </c>
      <c r="B79">
        <v>1982</v>
      </c>
      <c r="C79" s="2">
        <v>30125</v>
      </c>
      <c r="D79" s="3" cm="1">
        <f t="array" ref="D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79" t="s">
        <v>100</v>
      </c>
      <c r="F79" t="str">
        <f>IF((world_cup_matches9[[#This Row],[StageOrder]]&gt;=7),"High Pressure","Low Pressure")</f>
        <v>Low Pressure</v>
      </c>
      <c r="G79" t="s">
        <v>23</v>
      </c>
      <c r="H79">
        <v>4</v>
      </c>
      <c r="I79">
        <v>0</v>
      </c>
      <c r="J79" t="s">
        <v>67</v>
      </c>
      <c r="K79">
        <f>world_cup_matches9[[#This Row],[Home Goals]]+world_cup_matches9[[#This Row],[Away Goals]]</f>
        <v>4</v>
      </c>
      <c r="L79" t="s">
        <v>132</v>
      </c>
      <c r="M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" t="b">
        <v>0</v>
      </c>
    </row>
    <row r="80" spans="1:14" x14ac:dyDescent="0.3">
      <c r="A80">
        <v>339</v>
      </c>
      <c r="B80">
        <v>1982</v>
      </c>
      <c r="C80" s="2">
        <v>30126</v>
      </c>
      <c r="D80" s="3" cm="1">
        <f t="array" ref="D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0" t="s">
        <v>100</v>
      </c>
      <c r="F80" t="str">
        <f>IF((world_cup_matches9[[#This Row],[StageOrder]]&gt;=7),"High Pressure","Low Pressure")</f>
        <v>Low Pressure</v>
      </c>
      <c r="G80" t="s">
        <v>88</v>
      </c>
      <c r="H80">
        <v>3</v>
      </c>
      <c r="I80">
        <v>2</v>
      </c>
      <c r="J80" t="s">
        <v>63</v>
      </c>
      <c r="K80">
        <f>world_cup_matches9[[#This Row],[Home Goals]]+world_cup_matches9[[#This Row],[Away Goals]]</f>
        <v>5</v>
      </c>
      <c r="L80" t="s">
        <v>132</v>
      </c>
      <c r="M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" t="b">
        <v>0</v>
      </c>
    </row>
    <row r="81" spans="1:14" x14ac:dyDescent="0.3">
      <c r="A81">
        <v>340</v>
      </c>
      <c r="B81">
        <v>1982</v>
      </c>
      <c r="C81" s="2">
        <v>30126</v>
      </c>
      <c r="D81" s="3" cm="1">
        <f t="array" ref="D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1" t="s">
        <v>100</v>
      </c>
      <c r="F81" t="str">
        <f>IF((world_cup_matches9[[#This Row],[StageOrder]]&gt;=7),"High Pressure","Low Pressure")</f>
        <v>Low Pressure</v>
      </c>
      <c r="G81" t="s">
        <v>11</v>
      </c>
      <c r="H81">
        <v>1</v>
      </c>
      <c r="I81">
        <v>1</v>
      </c>
      <c r="J81" t="s">
        <v>61</v>
      </c>
      <c r="K81">
        <f>world_cup_matches9[[#This Row],[Home Goals]]+world_cup_matches9[[#This Row],[Away Goals]]</f>
        <v>2</v>
      </c>
      <c r="L81" t="s">
        <v>132</v>
      </c>
      <c r="M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" t="b">
        <v>0</v>
      </c>
    </row>
    <row r="82" spans="1:14" x14ac:dyDescent="0.3">
      <c r="A82">
        <v>341</v>
      </c>
      <c r="B82">
        <v>1982</v>
      </c>
      <c r="C82" s="2">
        <v>30126</v>
      </c>
      <c r="D82" s="3" cm="1">
        <f t="array" ref="D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2" t="s">
        <v>100</v>
      </c>
      <c r="F82" t="str">
        <f>IF((world_cup_matches9[[#This Row],[StageOrder]]&gt;=7),"High Pressure","Low Pressure")</f>
        <v>Low Pressure</v>
      </c>
      <c r="G82" t="s">
        <v>79</v>
      </c>
      <c r="H82">
        <v>0</v>
      </c>
      <c r="I82">
        <v>1</v>
      </c>
      <c r="J82" t="s">
        <v>69</v>
      </c>
      <c r="K82">
        <f>world_cup_matches9[[#This Row],[Home Goals]]+world_cup_matches9[[#This Row],[Away Goals]]</f>
        <v>1</v>
      </c>
      <c r="L82" t="s">
        <v>132</v>
      </c>
      <c r="M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" t="b">
        <v>0</v>
      </c>
    </row>
    <row r="83" spans="1:14" x14ac:dyDescent="0.3">
      <c r="A83">
        <v>342</v>
      </c>
      <c r="B83">
        <v>1982</v>
      </c>
      <c r="C83" s="2">
        <v>30127</v>
      </c>
      <c r="D83" s="3" cm="1">
        <f t="array" ref="D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3" t="s">
        <v>100</v>
      </c>
      <c r="F83" t="str">
        <f>IF((world_cup_matches9[[#This Row],[StageOrder]]&gt;=7),"High Pressure","Low Pressure")</f>
        <v>Low Pressure</v>
      </c>
      <c r="G83" t="s">
        <v>17</v>
      </c>
      <c r="H83">
        <v>1</v>
      </c>
      <c r="I83">
        <v>0</v>
      </c>
      <c r="J83" t="s">
        <v>55</v>
      </c>
      <c r="K83">
        <f>world_cup_matches9[[#This Row],[Home Goals]]+world_cup_matches9[[#This Row],[Away Goals]]</f>
        <v>1</v>
      </c>
      <c r="L83" t="s">
        <v>132</v>
      </c>
      <c r="M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" t="b">
        <v>0</v>
      </c>
    </row>
    <row r="84" spans="1:14" x14ac:dyDescent="0.3">
      <c r="A84">
        <v>343</v>
      </c>
      <c r="B84">
        <v>1982</v>
      </c>
      <c r="C84" s="2">
        <v>30127</v>
      </c>
      <c r="D84" s="3" cm="1">
        <f t="array" ref="D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4" t="s">
        <v>100</v>
      </c>
      <c r="F84" t="str">
        <f>IF((world_cup_matches9[[#This Row],[StageOrder]]&gt;=7),"High Pressure","Low Pressure")</f>
        <v>Low Pressure</v>
      </c>
      <c r="G84" t="s">
        <v>3</v>
      </c>
      <c r="H84">
        <v>1</v>
      </c>
      <c r="I84">
        <v>0</v>
      </c>
      <c r="J84" t="s">
        <v>50</v>
      </c>
      <c r="K84">
        <f>world_cup_matches9[[#This Row],[Home Goals]]+world_cup_matches9[[#This Row],[Away Goals]]</f>
        <v>1</v>
      </c>
      <c r="L84" t="s">
        <v>132</v>
      </c>
      <c r="M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" t="b">
        <v>0</v>
      </c>
    </row>
    <row r="85" spans="1:14" x14ac:dyDescent="0.3">
      <c r="A85">
        <v>344</v>
      </c>
      <c r="B85">
        <v>1982</v>
      </c>
      <c r="C85" s="2">
        <v>30127</v>
      </c>
      <c r="D85" s="3" cm="1">
        <f t="array" ref="D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</v>
      </c>
      <c r="E85" t="s">
        <v>100</v>
      </c>
      <c r="F85" t="str">
        <f>IF((world_cup_matches9[[#This Row],[StageOrder]]&gt;=7),"High Pressure","Low Pressure")</f>
        <v>Low Pressure</v>
      </c>
      <c r="G85" t="s">
        <v>15</v>
      </c>
      <c r="H85">
        <v>0</v>
      </c>
      <c r="I85">
        <v>1</v>
      </c>
      <c r="J85" t="s">
        <v>60</v>
      </c>
      <c r="K85">
        <f>world_cup_matches9[[#This Row],[Home Goals]]+world_cup_matches9[[#This Row],[Away Goals]]</f>
        <v>1</v>
      </c>
      <c r="L85" t="s">
        <v>132</v>
      </c>
      <c r="M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" t="b">
        <v>1</v>
      </c>
    </row>
    <row r="86" spans="1:14" x14ac:dyDescent="0.3">
      <c r="A86">
        <v>1</v>
      </c>
      <c r="B86">
        <v>1930</v>
      </c>
      <c r="C86" s="2">
        <v>11152</v>
      </c>
      <c r="D86" s="3" cm="1">
        <f t="array" ref="D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86" t="s">
        <v>38</v>
      </c>
      <c r="F86" t="str">
        <f>IF((world_cup_matches9[[#This Row],[StageOrder]]&gt;=7),"High Pressure","Low Pressure")</f>
        <v>Low Pressure</v>
      </c>
      <c r="G86" t="s">
        <v>11</v>
      </c>
      <c r="H86">
        <v>4</v>
      </c>
      <c r="I86">
        <v>1</v>
      </c>
      <c r="J86" t="s">
        <v>9</v>
      </c>
      <c r="K86">
        <f>world_cup_matches9[[#This Row],[Home Goals]]+world_cup_matches9[[#This Row],[Away Goals]]</f>
        <v>5</v>
      </c>
      <c r="L86" t="s">
        <v>132</v>
      </c>
      <c r="M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" t="b">
        <v>0</v>
      </c>
    </row>
    <row r="87" spans="1:14" x14ac:dyDescent="0.3">
      <c r="A87">
        <v>2</v>
      </c>
      <c r="B87">
        <v>1930</v>
      </c>
      <c r="C87" s="2">
        <v>11152</v>
      </c>
      <c r="D87" s="3" cm="1">
        <f t="array" ref="D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87" t="s">
        <v>38</v>
      </c>
      <c r="F87" t="str">
        <f>IF((world_cup_matches9[[#This Row],[StageOrder]]&gt;=7),"High Pressure","Low Pressure")</f>
        <v>Low Pressure</v>
      </c>
      <c r="G87" t="s">
        <v>5</v>
      </c>
      <c r="H87">
        <v>3</v>
      </c>
      <c r="I87">
        <v>0</v>
      </c>
      <c r="J87" t="s">
        <v>19</v>
      </c>
      <c r="K87">
        <f>world_cup_matches9[[#This Row],[Home Goals]]+world_cup_matches9[[#This Row],[Away Goals]]</f>
        <v>3</v>
      </c>
      <c r="L87" t="s">
        <v>132</v>
      </c>
      <c r="M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" t="b">
        <v>0</v>
      </c>
    </row>
    <row r="88" spans="1:14" x14ac:dyDescent="0.3">
      <c r="A88">
        <v>3</v>
      </c>
      <c r="B88">
        <v>1930</v>
      </c>
      <c r="C88" s="2">
        <v>11153</v>
      </c>
      <c r="D88" s="3" cm="1">
        <f t="array" ref="D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88" t="s">
        <v>38</v>
      </c>
      <c r="F88" t="str">
        <f>IF((world_cup_matches9[[#This Row],[StageOrder]]&gt;=7),"High Pressure","Low Pressure")</f>
        <v>Low Pressure</v>
      </c>
      <c r="G88" t="s">
        <v>69</v>
      </c>
      <c r="H88">
        <v>2</v>
      </c>
      <c r="I88">
        <v>1</v>
      </c>
      <c r="J88" t="s">
        <v>23</v>
      </c>
      <c r="K88">
        <f>world_cup_matches9[[#This Row],[Home Goals]]+world_cup_matches9[[#This Row],[Away Goals]]</f>
        <v>3</v>
      </c>
      <c r="L88" t="s">
        <v>132</v>
      </c>
      <c r="M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" t="b">
        <v>0</v>
      </c>
    </row>
    <row r="89" spans="1:14" x14ac:dyDescent="0.3">
      <c r="A89">
        <v>4</v>
      </c>
      <c r="B89">
        <v>1930</v>
      </c>
      <c r="C89" s="2">
        <v>11153</v>
      </c>
      <c r="D89" s="3" cm="1">
        <f t="array" ref="D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89" t="s">
        <v>38</v>
      </c>
      <c r="F89" t="str">
        <f>IF((world_cup_matches9[[#This Row],[StageOrder]]&gt;=7),"High Pressure","Low Pressure")</f>
        <v>Low Pressure</v>
      </c>
      <c r="G89" t="s">
        <v>68</v>
      </c>
      <c r="H89">
        <v>3</v>
      </c>
      <c r="I89">
        <v>1</v>
      </c>
      <c r="J89" t="s">
        <v>72</v>
      </c>
      <c r="K89">
        <f>world_cup_matches9[[#This Row],[Home Goals]]+world_cup_matches9[[#This Row],[Away Goals]]</f>
        <v>4</v>
      </c>
      <c r="L89" t="s">
        <v>132</v>
      </c>
      <c r="M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" t="b">
        <v>0</v>
      </c>
    </row>
    <row r="90" spans="1:14" x14ac:dyDescent="0.3">
      <c r="A90">
        <v>5</v>
      </c>
      <c r="B90">
        <v>1930</v>
      </c>
      <c r="C90" s="2">
        <v>11154</v>
      </c>
      <c r="D90" s="3" cm="1">
        <f t="array" ref="D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0" t="s">
        <v>38</v>
      </c>
      <c r="F90" t="str">
        <f>IF((world_cup_matches9[[#This Row],[StageOrder]]&gt;=7),"High Pressure","Low Pressure")</f>
        <v>Low Pressure</v>
      </c>
      <c r="G90" t="s">
        <v>7</v>
      </c>
      <c r="H90">
        <v>1</v>
      </c>
      <c r="I90">
        <v>0</v>
      </c>
      <c r="J90" t="s">
        <v>11</v>
      </c>
      <c r="K90">
        <f>world_cup_matches9[[#This Row],[Home Goals]]+world_cup_matches9[[#This Row],[Away Goals]]</f>
        <v>1</v>
      </c>
      <c r="L90" t="s">
        <v>132</v>
      </c>
      <c r="M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0" t="b">
        <v>0</v>
      </c>
    </row>
    <row r="91" spans="1:14" x14ac:dyDescent="0.3">
      <c r="A91">
        <v>6</v>
      </c>
      <c r="B91">
        <v>1930</v>
      </c>
      <c r="C91" s="2">
        <v>11155</v>
      </c>
      <c r="D91" s="3" cm="1">
        <f t="array" ref="D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1" t="s">
        <v>38</v>
      </c>
      <c r="F91" t="str">
        <f>IF((world_cup_matches9[[#This Row],[StageOrder]]&gt;=7),"High Pressure","Low Pressure")</f>
        <v>Low Pressure</v>
      </c>
      <c r="G91" t="s">
        <v>63</v>
      </c>
      <c r="H91">
        <v>3</v>
      </c>
      <c r="I91">
        <v>0</v>
      </c>
      <c r="J91" t="s">
        <v>9</v>
      </c>
      <c r="K91">
        <f>world_cup_matches9[[#This Row],[Home Goals]]+world_cup_matches9[[#This Row],[Away Goals]]</f>
        <v>3</v>
      </c>
      <c r="L91" t="s">
        <v>132</v>
      </c>
      <c r="M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1" t="b">
        <v>0</v>
      </c>
    </row>
    <row r="92" spans="1:14" x14ac:dyDescent="0.3">
      <c r="A92">
        <v>7</v>
      </c>
      <c r="B92">
        <v>1930</v>
      </c>
      <c r="C92" s="2">
        <v>11156</v>
      </c>
      <c r="D92" s="3" cm="1">
        <f t="array" ref="D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2" t="s">
        <v>38</v>
      </c>
      <c r="F92" t="str">
        <f>IF((world_cup_matches9[[#This Row],[StageOrder]]&gt;=7),"High Pressure","Low Pressure")</f>
        <v>Low Pressure</v>
      </c>
      <c r="G92" t="s">
        <v>69</v>
      </c>
      <c r="H92">
        <v>4</v>
      </c>
      <c r="I92">
        <v>0</v>
      </c>
      <c r="J92" t="s">
        <v>71</v>
      </c>
      <c r="K92">
        <f>world_cup_matches9[[#This Row],[Home Goals]]+world_cup_matches9[[#This Row],[Away Goals]]</f>
        <v>4</v>
      </c>
      <c r="L92" t="s">
        <v>132</v>
      </c>
      <c r="M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2" t="b">
        <v>0</v>
      </c>
    </row>
    <row r="93" spans="1:14" x14ac:dyDescent="0.3">
      <c r="A93">
        <v>8</v>
      </c>
      <c r="B93">
        <v>1930</v>
      </c>
      <c r="C93" s="2">
        <v>11156</v>
      </c>
      <c r="D93" s="3" cm="1">
        <f t="array" ref="D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3" t="s">
        <v>38</v>
      </c>
      <c r="F93" t="str">
        <f>IF((world_cup_matches9[[#This Row],[StageOrder]]&gt;=7),"High Pressure","Low Pressure")</f>
        <v>Low Pressure</v>
      </c>
      <c r="G93" t="s">
        <v>5</v>
      </c>
      <c r="H93">
        <v>3</v>
      </c>
      <c r="I93">
        <v>0</v>
      </c>
      <c r="J93" t="s">
        <v>65</v>
      </c>
      <c r="K93">
        <f>world_cup_matches9[[#This Row],[Home Goals]]+world_cup_matches9[[#This Row],[Away Goals]]</f>
        <v>3</v>
      </c>
      <c r="L93" t="s">
        <v>132</v>
      </c>
      <c r="M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3" t="b">
        <v>0</v>
      </c>
    </row>
    <row r="94" spans="1:14" x14ac:dyDescent="0.3">
      <c r="A94">
        <v>9</v>
      </c>
      <c r="B94">
        <v>1930</v>
      </c>
      <c r="C94" s="2">
        <v>11157</v>
      </c>
      <c r="D94" s="3" cm="1">
        <f t="array" ref="D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4" t="s">
        <v>38</v>
      </c>
      <c r="F94" t="str">
        <f>IF((world_cup_matches9[[#This Row],[StageOrder]]&gt;=7),"High Pressure","Low Pressure")</f>
        <v>Low Pressure</v>
      </c>
      <c r="G94" t="s">
        <v>29</v>
      </c>
      <c r="H94">
        <v>1</v>
      </c>
      <c r="I94">
        <v>0</v>
      </c>
      <c r="J94" t="s">
        <v>72</v>
      </c>
      <c r="K94">
        <f>world_cup_matches9[[#This Row],[Home Goals]]+world_cup_matches9[[#This Row],[Away Goals]]</f>
        <v>1</v>
      </c>
      <c r="L94" t="s">
        <v>132</v>
      </c>
      <c r="M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4" t="b">
        <v>1</v>
      </c>
    </row>
    <row r="95" spans="1:14" x14ac:dyDescent="0.3">
      <c r="A95">
        <v>10</v>
      </c>
      <c r="B95">
        <v>1930</v>
      </c>
      <c r="C95" s="2">
        <v>11158</v>
      </c>
      <c r="D95" s="3" cm="1">
        <f t="array" ref="D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5" t="s">
        <v>38</v>
      </c>
      <c r="F95" t="str">
        <f>IF((world_cup_matches9[[#This Row],[StageOrder]]&gt;=7),"High Pressure","Low Pressure")</f>
        <v>Low Pressure</v>
      </c>
      <c r="G95" t="s">
        <v>63</v>
      </c>
      <c r="H95">
        <v>1</v>
      </c>
      <c r="I95">
        <v>0</v>
      </c>
      <c r="J95" t="s">
        <v>11</v>
      </c>
      <c r="K95">
        <f>world_cup_matches9[[#This Row],[Home Goals]]+world_cup_matches9[[#This Row],[Away Goals]]</f>
        <v>1</v>
      </c>
      <c r="L95" t="s">
        <v>132</v>
      </c>
      <c r="M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5" t="b">
        <v>0</v>
      </c>
    </row>
    <row r="96" spans="1:14" x14ac:dyDescent="0.3">
      <c r="A96">
        <v>11</v>
      </c>
      <c r="B96">
        <v>1930</v>
      </c>
      <c r="C96" s="2">
        <v>11158</v>
      </c>
      <c r="D96" s="3" cm="1">
        <f t="array" ref="D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6" t="s">
        <v>38</v>
      </c>
      <c r="F96" t="str">
        <f>IF((world_cup_matches9[[#This Row],[StageOrder]]&gt;=7),"High Pressure","Low Pressure")</f>
        <v>Low Pressure</v>
      </c>
      <c r="G96" t="s">
        <v>7</v>
      </c>
      <c r="H96">
        <v>6</v>
      </c>
      <c r="I96">
        <v>3</v>
      </c>
      <c r="J96" t="s">
        <v>9</v>
      </c>
      <c r="K96">
        <f>world_cup_matches9[[#This Row],[Home Goals]]+world_cup_matches9[[#This Row],[Away Goals]]</f>
        <v>9</v>
      </c>
      <c r="L96" t="s">
        <v>132</v>
      </c>
      <c r="M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6" t="b">
        <v>0</v>
      </c>
    </row>
    <row r="97" spans="1:14" x14ac:dyDescent="0.3">
      <c r="A97">
        <v>12</v>
      </c>
      <c r="B97">
        <v>1930</v>
      </c>
      <c r="C97" s="2">
        <v>11159</v>
      </c>
      <c r="D97" s="3" cm="1">
        <f t="array" ref="D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7" t="s">
        <v>38</v>
      </c>
      <c r="F97" t="str">
        <f>IF((world_cup_matches9[[#This Row],[StageOrder]]&gt;=7),"High Pressure","Low Pressure")</f>
        <v>Low Pressure</v>
      </c>
      <c r="G97" t="s">
        <v>23</v>
      </c>
      <c r="H97">
        <v>4</v>
      </c>
      <c r="I97">
        <v>0</v>
      </c>
      <c r="J97" t="s">
        <v>71</v>
      </c>
      <c r="K97">
        <f>world_cup_matches9[[#This Row],[Home Goals]]+world_cup_matches9[[#This Row],[Away Goals]]</f>
        <v>4</v>
      </c>
      <c r="L97" t="s">
        <v>132</v>
      </c>
      <c r="M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7" t="b">
        <v>0</v>
      </c>
    </row>
    <row r="98" spans="1:14" x14ac:dyDescent="0.3">
      <c r="A98">
        <v>13</v>
      </c>
      <c r="B98">
        <v>1930</v>
      </c>
      <c r="C98" s="2">
        <v>11159</v>
      </c>
      <c r="D98" s="3" cm="1">
        <f t="array" ref="D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8" t="s">
        <v>38</v>
      </c>
      <c r="F98" t="str">
        <f>IF((world_cup_matches9[[#This Row],[StageOrder]]&gt;=7),"High Pressure","Low Pressure")</f>
        <v>Low Pressure</v>
      </c>
      <c r="G98" t="s">
        <v>65</v>
      </c>
      <c r="H98">
        <v>1</v>
      </c>
      <c r="I98">
        <v>0</v>
      </c>
      <c r="J98" t="s">
        <v>19</v>
      </c>
      <c r="K98">
        <f>world_cup_matches9[[#This Row],[Home Goals]]+world_cup_matches9[[#This Row],[Away Goals]]</f>
        <v>1</v>
      </c>
      <c r="L98" t="s">
        <v>132</v>
      </c>
      <c r="M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8" t="b">
        <v>0</v>
      </c>
    </row>
    <row r="99" spans="1:14" x14ac:dyDescent="0.3">
      <c r="A99">
        <v>14</v>
      </c>
      <c r="B99">
        <v>1930</v>
      </c>
      <c r="C99" s="2">
        <v>11160</v>
      </c>
      <c r="D99" s="3" cm="1">
        <f t="array" ref="D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99" t="s">
        <v>38</v>
      </c>
      <c r="F99" t="str">
        <f>IF((world_cup_matches9[[#This Row],[StageOrder]]&gt;=7),"High Pressure","Low Pressure")</f>
        <v>Low Pressure</v>
      </c>
      <c r="G99" t="s">
        <v>29</v>
      </c>
      <c r="H99">
        <v>4</v>
      </c>
      <c r="I99">
        <v>0</v>
      </c>
      <c r="J99" t="s">
        <v>68</v>
      </c>
      <c r="K99">
        <f>world_cup_matches9[[#This Row],[Home Goals]]+world_cup_matches9[[#This Row],[Away Goals]]</f>
        <v>4</v>
      </c>
      <c r="L99" t="s">
        <v>132</v>
      </c>
      <c r="M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9" t="b">
        <v>1</v>
      </c>
    </row>
    <row r="100" spans="1:14" x14ac:dyDescent="0.3">
      <c r="A100">
        <v>15</v>
      </c>
      <c r="B100">
        <v>1930</v>
      </c>
      <c r="C100" s="2">
        <v>11161</v>
      </c>
      <c r="D100" s="3" cm="1">
        <f t="array" ref="D1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0" t="s">
        <v>38</v>
      </c>
      <c r="F100" t="str">
        <f>IF((world_cup_matches9[[#This Row],[StageOrder]]&gt;=7),"High Pressure","Low Pressure")</f>
        <v>Low Pressure</v>
      </c>
      <c r="G100" t="s">
        <v>7</v>
      </c>
      <c r="H100">
        <v>3</v>
      </c>
      <c r="I100">
        <v>1</v>
      </c>
      <c r="J100" t="s">
        <v>63</v>
      </c>
      <c r="K100">
        <f>world_cup_matches9[[#This Row],[Home Goals]]+world_cup_matches9[[#This Row],[Away Goals]]</f>
        <v>4</v>
      </c>
      <c r="L100" t="s">
        <v>132</v>
      </c>
      <c r="M1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0" t="b">
        <v>0</v>
      </c>
    </row>
    <row r="101" spans="1:14" x14ac:dyDescent="0.3">
      <c r="A101">
        <v>76</v>
      </c>
      <c r="B101">
        <v>1954</v>
      </c>
      <c r="C101" s="2">
        <v>19891</v>
      </c>
      <c r="D101" s="3" cm="1">
        <f t="array" ref="D1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1" t="s">
        <v>38</v>
      </c>
      <c r="F101" t="str">
        <f>IF((world_cup_matches9[[#This Row],[StageOrder]]&gt;=7),"High Pressure","Low Pressure")</f>
        <v>Low Pressure</v>
      </c>
      <c r="G101" t="s">
        <v>29</v>
      </c>
      <c r="H101">
        <v>2</v>
      </c>
      <c r="I101">
        <v>0</v>
      </c>
      <c r="J101" t="s">
        <v>61</v>
      </c>
      <c r="K101">
        <f>world_cup_matches9[[#This Row],[Home Goals]]+world_cup_matches9[[#This Row],[Away Goals]]</f>
        <v>2</v>
      </c>
      <c r="L101" t="s">
        <v>132</v>
      </c>
      <c r="M1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1" t="b">
        <v>0</v>
      </c>
    </row>
    <row r="102" spans="1:14" x14ac:dyDescent="0.3">
      <c r="A102">
        <v>77</v>
      </c>
      <c r="B102">
        <v>1954</v>
      </c>
      <c r="C102" s="2">
        <v>19891</v>
      </c>
      <c r="D102" s="3" cm="1">
        <f t="array" ref="D1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2" t="s">
        <v>38</v>
      </c>
      <c r="F102" t="str">
        <f>IF((world_cup_matches9[[#This Row],[StageOrder]]&gt;=7),"High Pressure","Low Pressure")</f>
        <v>Low Pressure</v>
      </c>
      <c r="G102" t="s">
        <v>55</v>
      </c>
      <c r="H102">
        <v>1</v>
      </c>
      <c r="I102">
        <v>0</v>
      </c>
      <c r="J102" t="s">
        <v>49</v>
      </c>
      <c r="K102">
        <f>world_cup_matches9[[#This Row],[Home Goals]]+world_cup_matches9[[#This Row],[Away Goals]]</f>
        <v>1</v>
      </c>
      <c r="L102" t="s">
        <v>132</v>
      </c>
      <c r="M1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2" t="b">
        <v>0</v>
      </c>
    </row>
    <row r="103" spans="1:14" x14ac:dyDescent="0.3">
      <c r="A103">
        <v>78</v>
      </c>
      <c r="B103">
        <v>1954</v>
      </c>
      <c r="C103" s="2">
        <v>19891</v>
      </c>
      <c r="D103" s="3" cm="1">
        <f t="array" ref="D1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3" t="s">
        <v>38</v>
      </c>
      <c r="F103" t="str">
        <f>IF((world_cup_matches9[[#This Row],[StageOrder]]&gt;=7),"High Pressure","Low Pressure")</f>
        <v>Low Pressure</v>
      </c>
      <c r="G103" t="s">
        <v>23</v>
      </c>
      <c r="H103">
        <v>5</v>
      </c>
      <c r="I103">
        <v>0</v>
      </c>
      <c r="J103" t="s">
        <v>9</v>
      </c>
      <c r="K103">
        <f>world_cup_matches9[[#This Row],[Home Goals]]+world_cup_matches9[[#This Row],[Away Goals]]</f>
        <v>5</v>
      </c>
      <c r="L103" t="s">
        <v>132</v>
      </c>
      <c r="M1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3" t="b">
        <v>0</v>
      </c>
    </row>
    <row r="104" spans="1:14" x14ac:dyDescent="0.3">
      <c r="A104">
        <v>79</v>
      </c>
      <c r="B104">
        <v>1954</v>
      </c>
      <c r="C104" s="2">
        <v>19891</v>
      </c>
      <c r="D104" s="3" cm="1">
        <f t="array" ref="D1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4" t="s">
        <v>38</v>
      </c>
      <c r="F104" t="str">
        <f>IF((world_cup_matches9[[#This Row],[StageOrder]]&gt;=7),"High Pressure","Low Pressure")</f>
        <v>Low Pressure</v>
      </c>
      <c r="G104" t="s">
        <v>69</v>
      </c>
      <c r="H104">
        <v>1</v>
      </c>
      <c r="I104">
        <v>0</v>
      </c>
      <c r="J104" t="s">
        <v>11</v>
      </c>
      <c r="K104">
        <f>world_cup_matches9[[#This Row],[Home Goals]]+world_cup_matches9[[#This Row],[Away Goals]]</f>
        <v>1</v>
      </c>
      <c r="L104" t="s">
        <v>132</v>
      </c>
      <c r="M1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4" t="b">
        <v>0</v>
      </c>
    </row>
    <row r="105" spans="1:14" x14ac:dyDescent="0.3">
      <c r="A105">
        <v>80</v>
      </c>
      <c r="B105">
        <v>1954</v>
      </c>
      <c r="C105" s="2">
        <v>19892</v>
      </c>
      <c r="D105" s="3" cm="1">
        <f t="array" ref="D1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5" t="s">
        <v>38</v>
      </c>
      <c r="F105" t="str">
        <f>IF((world_cup_matches9[[#This Row],[StageOrder]]&gt;=7),"High Pressure","Low Pressure")</f>
        <v>Low Pressure</v>
      </c>
      <c r="G105" t="s">
        <v>25</v>
      </c>
      <c r="H105">
        <v>2</v>
      </c>
      <c r="I105">
        <v>1</v>
      </c>
      <c r="J105" t="s">
        <v>46</v>
      </c>
      <c r="K105">
        <f>world_cup_matches9[[#This Row],[Home Goals]]+world_cup_matches9[[#This Row],[Away Goals]]</f>
        <v>3</v>
      </c>
      <c r="L105" t="s">
        <v>132</v>
      </c>
      <c r="M1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5" t="b">
        <v>1</v>
      </c>
    </row>
    <row r="106" spans="1:14" x14ac:dyDescent="0.3">
      <c r="A106">
        <v>81</v>
      </c>
      <c r="B106">
        <v>1954</v>
      </c>
      <c r="C106" s="2">
        <v>19892</v>
      </c>
      <c r="D106" s="3" cm="1">
        <f t="array" ref="D1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6" t="s">
        <v>38</v>
      </c>
      <c r="F106" t="str">
        <f>IF((world_cup_matches9[[#This Row],[StageOrder]]&gt;=7),"High Pressure","Low Pressure")</f>
        <v>Low Pressure</v>
      </c>
      <c r="G106" t="s">
        <v>17</v>
      </c>
      <c r="H106">
        <v>4</v>
      </c>
      <c r="I106">
        <v>1</v>
      </c>
      <c r="J106" t="s">
        <v>45</v>
      </c>
      <c r="K106">
        <f>world_cup_matches9[[#This Row],[Home Goals]]+world_cup_matches9[[#This Row],[Away Goals]]</f>
        <v>5</v>
      </c>
      <c r="L106" t="s">
        <v>132</v>
      </c>
      <c r="M1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6" t="b">
        <v>0</v>
      </c>
    </row>
    <row r="107" spans="1:14" x14ac:dyDescent="0.3">
      <c r="A107">
        <v>82</v>
      </c>
      <c r="B107">
        <v>1954</v>
      </c>
      <c r="C107" s="2">
        <v>19892</v>
      </c>
      <c r="D107" s="3" cm="1">
        <f t="array" ref="D1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7" t="s">
        <v>38</v>
      </c>
      <c r="F107" t="str">
        <f>IF((world_cup_matches9[[#This Row],[StageOrder]]&gt;=7),"High Pressure","Low Pressure")</f>
        <v>Low Pressure</v>
      </c>
      <c r="G107" t="s">
        <v>52</v>
      </c>
      <c r="H107">
        <v>9</v>
      </c>
      <c r="I107">
        <v>0</v>
      </c>
      <c r="J107" t="s">
        <v>30</v>
      </c>
      <c r="K107">
        <f>world_cup_matches9[[#This Row],[Home Goals]]+world_cup_matches9[[#This Row],[Away Goals]]</f>
        <v>9</v>
      </c>
      <c r="L107" t="s">
        <v>132</v>
      </c>
      <c r="M1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7" t="b">
        <v>0</v>
      </c>
    </row>
    <row r="108" spans="1:14" x14ac:dyDescent="0.3">
      <c r="A108">
        <v>83</v>
      </c>
      <c r="B108">
        <v>1954</v>
      </c>
      <c r="C108" s="2">
        <v>19892</v>
      </c>
      <c r="D108" s="3" cm="1">
        <f t="array" ref="D1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8" t="s">
        <v>38</v>
      </c>
      <c r="F108" t="str">
        <f>IF((world_cup_matches9[[#This Row],[StageOrder]]&gt;=7),"High Pressure","Low Pressure")</f>
        <v>Low Pressure</v>
      </c>
      <c r="G108" t="s">
        <v>3</v>
      </c>
      <c r="H108">
        <v>4</v>
      </c>
      <c r="I108">
        <v>4</v>
      </c>
      <c r="J108" t="s">
        <v>19</v>
      </c>
      <c r="K108">
        <f>world_cup_matches9[[#This Row],[Home Goals]]+world_cup_matches9[[#This Row],[Away Goals]]</f>
        <v>8</v>
      </c>
      <c r="L108" t="s">
        <v>132</v>
      </c>
      <c r="M1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8" t="b">
        <v>0</v>
      </c>
    </row>
    <row r="109" spans="1:14" x14ac:dyDescent="0.3">
      <c r="A109">
        <v>84</v>
      </c>
      <c r="B109">
        <v>1954</v>
      </c>
      <c r="C109" s="2">
        <v>19894</v>
      </c>
      <c r="D109" s="3" cm="1">
        <f t="array" ref="D1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09" t="s">
        <v>38</v>
      </c>
      <c r="F109" t="str">
        <f>IF((world_cup_matches9[[#This Row],[StageOrder]]&gt;=7),"High Pressure","Low Pressure")</f>
        <v>Low Pressure</v>
      </c>
      <c r="G109" t="s">
        <v>29</v>
      </c>
      <c r="H109">
        <v>7</v>
      </c>
      <c r="I109">
        <v>0</v>
      </c>
      <c r="J109" t="s">
        <v>49</v>
      </c>
      <c r="K109">
        <f>world_cup_matches9[[#This Row],[Home Goals]]+world_cup_matches9[[#This Row],[Away Goals]]</f>
        <v>7</v>
      </c>
      <c r="L109" t="s">
        <v>132</v>
      </c>
      <c r="M1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09" t="b">
        <v>0</v>
      </c>
    </row>
    <row r="110" spans="1:14" x14ac:dyDescent="0.3">
      <c r="A110">
        <v>85</v>
      </c>
      <c r="B110">
        <v>1954</v>
      </c>
      <c r="C110" s="2">
        <v>19894</v>
      </c>
      <c r="D110" s="3" cm="1">
        <f t="array" ref="D1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0" t="s">
        <v>38</v>
      </c>
      <c r="F110" t="str">
        <f>IF((world_cup_matches9[[#This Row],[StageOrder]]&gt;=7),"High Pressure","Low Pressure")</f>
        <v>Low Pressure</v>
      </c>
      <c r="G110" t="s">
        <v>55</v>
      </c>
      <c r="H110">
        <v>5</v>
      </c>
      <c r="I110">
        <v>0</v>
      </c>
      <c r="J110" t="s">
        <v>61</v>
      </c>
      <c r="K110">
        <f>world_cup_matches9[[#This Row],[Home Goals]]+world_cup_matches9[[#This Row],[Away Goals]]</f>
        <v>5</v>
      </c>
      <c r="L110" t="s">
        <v>132</v>
      </c>
      <c r="M1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0" t="b">
        <v>0</v>
      </c>
    </row>
    <row r="111" spans="1:14" x14ac:dyDescent="0.3">
      <c r="A111">
        <v>86</v>
      </c>
      <c r="B111">
        <v>1954</v>
      </c>
      <c r="C111" s="2">
        <v>19894</v>
      </c>
      <c r="D111" s="3" cm="1">
        <f t="array" ref="D1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1" t="s">
        <v>38</v>
      </c>
      <c r="F111" t="str">
        <f>IF((world_cup_matches9[[#This Row],[StageOrder]]&gt;=7),"High Pressure","Low Pressure")</f>
        <v>Low Pressure</v>
      </c>
      <c r="G111" t="s">
        <v>23</v>
      </c>
      <c r="H111">
        <v>1</v>
      </c>
      <c r="I111">
        <v>1</v>
      </c>
      <c r="J111" t="s">
        <v>69</v>
      </c>
      <c r="K111">
        <f>world_cup_matches9[[#This Row],[Home Goals]]+world_cup_matches9[[#This Row],[Away Goals]]</f>
        <v>2</v>
      </c>
      <c r="L111" t="s">
        <v>132</v>
      </c>
      <c r="M1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1" t="b">
        <v>0</v>
      </c>
    </row>
    <row r="112" spans="1:14" x14ac:dyDescent="0.3">
      <c r="A112">
        <v>87</v>
      </c>
      <c r="B112">
        <v>1954</v>
      </c>
      <c r="C112" s="2">
        <v>19894</v>
      </c>
      <c r="D112" s="3" cm="1">
        <f t="array" ref="D1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2" t="s">
        <v>38</v>
      </c>
      <c r="F112" t="str">
        <f>IF((world_cup_matches9[[#This Row],[StageOrder]]&gt;=7),"High Pressure","Low Pressure")</f>
        <v>Low Pressure</v>
      </c>
      <c r="G112" t="s">
        <v>11</v>
      </c>
      <c r="H112">
        <v>3</v>
      </c>
      <c r="I112">
        <v>2</v>
      </c>
      <c r="J112" t="s">
        <v>9</v>
      </c>
      <c r="K112">
        <f>world_cup_matches9[[#This Row],[Home Goals]]+world_cup_matches9[[#This Row],[Away Goals]]</f>
        <v>5</v>
      </c>
      <c r="L112" t="s">
        <v>132</v>
      </c>
      <c r="M1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2" t="b">
        <v>0</v>
      </c>
    </row>
    <row r="113" spans="1:14" x14ac:dyDescent="0.3">
      <c r="A113">
        <v>88</v>
      </c>
      <c r="B113">
        <v>1954</v>
      </c>
      <c r="C113" s="2">
        <v>19895</v>
      </c>
      <c r="D113" s="3" cm="1">
        <f t="array" ref="D1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3" t="s">
        <v>38</v>
      </c>
      <c r="F113" t="str">
        <f>IF((world_cup_matches9[[#This Row],[StageOrder]]&gt;=7),"High Pressure","Low Pressure")</f>
        <v>Low Pressure</v>
      </c>
      <c r="G113" t="s">
        <v>52</v>
      </c>
      <c r="H113">
        <v>8</v>
      </c>
      <c r="I113">
        <v>3</v>
      </c>
      <c r="J113" t="s">
        <v>17</v>
      </c>
      <c r="K113">
        <f>world_cup_matches9[[#This Row],[Home Goals]]+world_cup_matches9[[#This Row],[Away Goals]]</f>
        <v>11</v>
      </c>
      <c r="L113" t="s">
        <v>132</v>
      </c>
      <c r="M1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3" t="b">
        <v>0</v>
      </c>
    </row>
    <row r="114" spans="1:14" x14ac:dyDescent="0.3">
      <c r="A114">
        <v>89</v>
      </c>
      <c r="B114">
        <v>1954</v>
      </c>
      <c r="C114" s="2">
        <v>19895</v>
      </c>
      <c r="D114" s="3" cm="1">
        <f t="array" ref="D1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4" t="s">
        <v>38</v>
      </c>
      <c r="F114" t="str">
        <f>IF((world_cup_matches9[[#This Row],[StageOrder]]&gt;=7),"High Pressure","Low Pressure")</f>
        <v>Low Pressure</v>
      </c>
      <c r="G114" t="s">
        <v>45</v>
      </c>
      <c r="H114">
        <v>7</v>
      </c>
      <c r="I114">
        <v>0</v>
      </c>
      <c r="J114" t="s">
        <v>30</v>
      </c>
      <c r="K114">
        <f>world_cup_matches9[[#This Row],[Home Goals]]+world_cup_matches9[[#This Row],[Away Goals]]</f>
        <v>7</v>
      </c>
      <c r="L114" t="s">
        <v>132</v>
      </c>
      <c r="M1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4" t="b">
        <v>0</v>
      </c>
    </row>
    <row r="115" spans="1:14" x14ac:dyDescent="0.3">
      <c r="A115">
        <v>90</v>
      </c>
      <c r="B115">
        <v>1954</v>
      </c>
      <c r="C115" s="2">
        <v>19895</v>
      </c>
      <c r="D115" s="3" cm="1">
        <f t="array" ref="D1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5" t="s">
        <v>38</v>
      </c>
      <c r="F115" t="str">
        <f>IF((world_cup_matches9[[#This Row],[StageOrder]]&gt;=7),"High Pressure","Low Pressure")</f>
        <v>Low Pressure</v>
      </c>
      <c r="G115" t="s">
        <v>46</v>
      </c>
      <c r="H115">
        <v>4</v>
      </c>
      <c r="I115">
        <v>1</v>
      </c>
      <c r="J115" t="s">
        <v>19</v>
      </c>
      <c r="K115">
        <f>world_cup_matches9[[#This Row],[Home Goals]]+world_cup_matches9[[#This Row],[Away Goals]]</f>
        <v>5</v>
      </c>
      <c r="L115" t="s">
        <v>132</v>
      </c>
      <c r="M1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5" t="b">
        <v>0</v>
      </c>
    </row>
    <row r="116" spans="1:14" x14ac:dyDescent="0.3">
      <c r="A116">
        <v>91</v>
      </c>
      <c r="B116">
        <v>1954</v>
      </c>
      <c r="C116" s="2">
        <v>19895</v>
      </c>
      <c r="D116" s="3" cm="1">
        <f t="array" ref="D1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6" t="s">
        <v>38</v>
      </c>
      <c r="F116" t="str">
        <f>IF((world_cup_matches9[[#This Row],[StageOrder]]&gt;=7),"High Pressure","Low Pressure")</f>
        <v>Low Pressure</v>
      </c>
      <c r="G116" t="s">
        <v>25</v>
      </c>
      <c r="H116">
        <v>0</v>
      </c>
      <c r="I116">
        <v>2</v>
      </c>
      <c r="J116" t="s">
        <v>3</v>
      </c>
      <c r="K116">
        <f>world_cup_matches9[[#This Row],[Home Goals]]+world_cup_matches9[[#This Row],[Away Goals]]</f>
        <v>2</v>
      </c>
      <c r="L116" t="s">
        <v>132</v>
      </c>
      <c r="M1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6" t="b">
        <v>1</v>
      </c>
    </row>
    <row r="117" spans="1:14" x14ac:dyDescent="0.3">
      <c r="A117">
        <v>92</v>
      </c>
      <c r="B117">
        <v>1954</v>
      </c>
      <c r="C117" s="2">
        <v>19898</v>
      </c>
      <c r="D117" s="3" cm="1">
        <f t="array" ref="D1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7" t="s">
        <v>38</v>
      </c>
      <c r="F117" t="str">
        <f>IF((world_cup_matches9[[#This Row],[StageOrder]]&gt;=7),"High Pressure","Low Pressure")</f>
        <v>Low Pressure</v>
      </c>
      <c r="G117" t="s">
        <v>17</v>
      </c>
      <c r="H117">
        <v>7</v>
      </c>
      <c r="I117">
        <v>2</v>
      </c>
      <c r="J117" t="s">
        <v>45</v>
      </c>
      <c r="K117">
        <f>world_cup_matches9[[#This Row],[Home Goals]]+world_cup_matches9[[#This Row],[Away Goals]]</f>
        <v>9</v>
      </c>
      <c r="L117" t="s">
        <v>132</v>
      </c>
      <c r="M1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7" t="b">
        <v>0</v>
      </c>
    </row>
    <row r="118" spans="1:14" x14ac:dyDescent="0.3">
      <c r="A118">
        <v>93</v>
      </c>
      <c r="B118">
        <v>1954</v>
      </c>
      <c r="C118" s="2">
        <v>19898</v>
      </c>
      <c r="D118" s="3" cm="1">
        <f t="array" ref="D1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8" t="s">
        <v>38</v>
      </c>
      <c r="F118" t="str">
        <f>IF((world_cup_matches9[[#This Row],[StageOrder]]&gt;=7),"High Pressure","Low Pressure")</f>
        <v>Low Pressure</v>
      </c>
      <c r="G118" t="s">
        <v>25</v>
      </c>
      <c r="H118">
        <v>4</v>
      </c>
      <c r="I118">
        <v>1</v>
      </c>
      <c r="J118" t="s">
        <v>46</v>
      </c>
      <c r="K118">
        <f>world_cup_matches9[[#This Row],[Home Goals]]+world_cup_matches9[[#This Row],[Away Goals]]</f>
        <v>5</v>
      </c>
      <c r="L118" t="s">
        <v>132</v>
      </c>
      <c r="M1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8" t="b">
        <v>1</v>
      </c>
    </row>
    <row r="119" spans="1:14" x14ac:dyDescent="0.3">
      <c r="A119">
        <v>102</v>
      </c>
      <c r="B119">
        <v>1958</v>
      </c>
      <c r="C119" s="2">
        <v>21344</v>
      </c>
      <c r="D119" s="3" cm="1">
        <f t="array" ref="D1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19" t="s">
        <v>38</v>
      </c>
      <c r="F119" t="str">
        <f>IF((world_cup_matches9[[#This Row],[StageOrder]]&gt;=7),"High Pressure","Low Pressure")</f>
        <v>Low Pressure</v>
      </c>
      <c r="G119" t="s">
        <v>62</v>
      </c>
      <c r="H119">
        <v>3</v>
      </c>
      <c r="I119">
        <v>0</v>
      </c>
      <c r="J119" t="s">
        <v>9</v>
      </c>
      <c r="K119">
        <f>world_cup_matches9[[#This Row],[Home Goals]]+world_cup_matches9[[#This Row],[Away Goals]]</f>
        <v>3</v>
      </c>
      <c r="L119" t="s">
        <v>132</v>
      </c>
      <c r="M1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19" t="b">
        <v>1</v>
      </c>
    </row>
    <row r="120" spans="1:14" x14ac:dyDescent="0.3">
      <c r="A120">
        <v>103</v>
      </c>
      <c r="B120">
        <v>1958</v>
      </c>
      <c r="C120" s="2">
        <v>21344</v>
      </c>
      <c r="D120" s="3" cm="1">
        <f t="array" ref="D1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0" t="s">
        <v>38</v>
      </c>
      <c r="F120" t="str">
        <f>IF((world_cup_matches9[[#This Row],[StageOrder]]&gt;=7),"High Pressure","Low Pressure")</f>
        <v>Low Pressure</v>
      </c>
      <c r="G120" t="s">
        <v>54</v>
      </c>
      <c r="H120">
        <v>2</v>
      </c>
      <c r="I120">
        <v>2</v>
      </c>
      <c r="J120" t="s">
        <v>3</v>
      </c>
      <c r="K120">
        <f>world_cup_matches9[[#This Row],[Home Goals]]+world_cup_matches9[[#This Row],[Away Goals]]</f>
        <v>4</v>
      </c>
      <c r="L120" t="s">
        <v>132</v>
      </c>
      <c r="M1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0" t="b">
        <v>0</v>
      </c>
    </row>
    <row r="121" spans="1:14" x14ac:dyDescent="0.3">
      <c r="A121">
        <v>104</v>
      </c>
      <c r="B121">
        <v>1958</v>
      </c>
      <c r="C121" s="2">
        <v>21344</v>
      </c>
      <c r="D121" s="3" cm="1">
        <f t="array" ref="D1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1" t="s">
        <v>38</v>
      </c>
      <c r="F121" t="str">
        <f>IF((world_cup_matches9[[#This Row],[StageOrder]]&gt;=7),"High Pressure","Low Pressure")</f>
        <v>Low Pressure</v>
      </c>
      <c r="G121" t="s">
        <v>7</v>
      </c>
      <c r="H121">
        <v>1</v>
      </c>
      <c r="I121">
        <v>3</v>
      </c>
      <c r="J121" t="s">
        <v>17</v>
      </c>
      <c r="K121">
        <f>world_cup_matches9[[#This Row],[Home Goals]]+world_cup_matches9[[#This Row],[Away Goals]]</f>
        <v>4</v>
      </c>
      <c r="L121" t="s">
        <v>132</v>
      </c>
      <c r="M1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1" t="b">
        <v>0</v>
      </c>
    </row>
    <row r="122" spans="1:14" x14ac:dyDescent="0.3">
      <c r="A122">
        <v>105</v>
      </c>
      <c r="B122">
        <v>1958</v>
      </c>
      <c r="C122" s="2">
        <v>21344</v>
      </c>
      <c r="D122" s="3" cm="1">
        <f t="array" ref="D1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2" t="s">
        <v>38</v>
      </c>
      <c r="F122" t="str">
        <f>IF((world_cup_matches9[[#This Row],[StageOrder]]&gt;=7),"High Pressure","Low Pressure")</f>
        <v>Low Pressure</v>
      </c>
      <c r="G122" t="s">
        <v>52</v>
      </c>
      <c r="H122">
        <v>1</v>
      </c>
      <c r="I122">
        <v>1</v>
      </c>
      <c r="J122" t="s">
        <v>6</v>
      </c>
      <c r="K122">
        <f>world_cup_matches9[[#This Row],[Home Goals]]+world_cup_matches9[[#This Row],[Away Goals]]</f>
        <v>2</v>
      </c>
      <c r="L122" t="s">
        <v>132</v>
      </c>
      <c r="M1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2" t="b">
        <v>0</v>
      </c>
    </row>
    <row r="123" spans="1:14" x14ac:dyDescent="0.3">
      <c r="A123">
        <v>106</v>
      </c>
      <c r="B123">
        <v>1958</v>
      </c>
      <c r="C123" s="2">
        <v>21344</v>
      </c>
      <c r="D123" s="3" cm="1">
        <f t="array" ref="D1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3" t="s">
        <v>38</v>
      </c>
      <c r="F123" t="str">
        <f>IF((world_cup_matches9[[#This Row],[StageOrder]]&gt;=7),"High Pressure","Low Pressure")</f>
        <v>Low Pressure</v>
      </c>
      <c r="G123" t="s">
        <v>11</v>
      </c>
      <c r="H123">
        <v>7</v>
      </c>
      <c r="I123">
        <v>3</v>
      </c>
      <c r="J123" t="s">
        <v>65</v>
      </c>
      <c r="K123">
        <f>world_cup_matches9[[#This Row],[Home Goals]]+world_cup_matches9[[#This Row],[Away Goals]]</f>
        <v>10</v>
      </c>
      <c r="L123" t="s">
        <v>132</v>
      </c>
      <c r="M1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3" t="b">
        <v>0</v>
      </c>
    </row>
    <row r="124" spans="1:14" x14ac:dyDescent="0.3">
      <c r="A124">
        <v>107</v>
      </c>
      <c r="B124">
        <v>1958</v>
      </c>
      <c r="C124" s="2">
        <v>21344</v>
      </c>
      <c r="D124" s="3" cm="1">
        <f t="array" ref="D1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4" t="s">
        <v>38</v>
      </c>
      <c r="F124" t="str">
        <f>IF((world_cup_matches9[[#This Row],[StageOrder]]&gt;=7),"High Pressure","Low Pressure")</f>
        <v>Low Pressure</v>
      </c>
      <c r="G124" t="s">
        <v>69</v>
      </c>
      <c r="H124">
        <v>1</v>
      </c>
      <c r="I124">
        <v>1</v>
      </c>
      <c r="J124" t="s">
        <v>49</v>
      </c>
      <c r="K124">
        <f>world_cup_matches9[[#This Row],[Home Goals]]+world_cup_matches9[[#This Row],[Away Goals]]</f>
        <v>2</v>
      </c>
      <c r="L124" t="s">
        <v>132</v>
      </c>
      <c r="M1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4" t="b">
        <v>0</v>
      </c>
    </row>
    <row r="125" spans="1:14" x14ac:dyDescent="0.3">
      <c r="A125">
        <v>108</v>
      </c>
      <c r="B125">
        <v>1958</v>
      </c>
      <c r="C125" s="2">
        <v>21344</v>
      </c>
      <c r="D125" s="3" cm="1">
        <f t="array" ref="D1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5" t="s">
        <v>38</v>
      </c>
      <c r="F125" t="str">
        <f>IF((world_cup_matches9[[#This Row],[StageOrder]]&gt;=7),"High Pressure","Low Pressure")</f>
        <v>Low Pressure</v>
      </c>
      <c r="G125" t="s">
        <v>23</v>
      </c>
      <c r="H125">
        <v>3</v>
      </c>
      <c r="I125">
        <v>0</v>
      </c>
      <c r="J125" t="s">
        <v>55</v>
      </c>
      <c r="K125">
        <f>world_cup_matches9[[#This Row],[Home Goals]]+world_cup_matches9[[#This Row],[Away Goals]]</f>
        <v>3</v>
      </c>
      <c r="L125" t="s">
        <v>132</v>
      </c>
      <c r="M1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5" t="b">
        <v>0</v>
      </c>
    </row>
    <row r="126" spans="1:14" x14ac:dyDescent="0.3">
      <c r="A126">
        <v>109</v>
      </c>
      <c r="B126">
        <v>1958</v>
      </c>
      <c r="C126" s="2">
        <v>21344</v>
      </c>
      <c r="D126" s="3" cm="1">
        <f t="array" ref="D1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6" t="s">
        <v>38</v>
      </c>
      <c r="F126" t="str">
        <f>IF((world_cup_matches9[[#This Row],[StageOrder]]&gt;=7),"High Pressure","Low Pressure")</f>
        <v>Low Pressure</v>
      </c>
      <c r="G126" t="s">
        <v>60</v>
      </c>
      <c r="H126">
        <v>1</v>
      </c>
      <c r="I126">
        <v>0</v>
      </c>
      <c r="J126" t="s">
        <v>61</v>
      </c>
      <c r="K126">
        <f>world_cup_matches9[[#This Row],[Home Goals]]+world_cup_matches9[[#This Row],[Away Goals]]</f>
        <v>1</v>
      </c>
      <c r="L126" t="s">
        <v>132</v>
      </c>
      <c r="M1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6" t="b">
        <v>0</v>
      </c>
    </row>
    <row r="127" spans="1:14" x14ac:dyDescent="0.3">
      <c r="A127">
        <v>110</v>
      </c>
      <c r="B127">
        <v>1958</v>
      </c>
      <c r="C127" s="2">
        <v>21347</v>
      </c>
      <c r="D127" s="3" cm="1">
        <f t="array" ref="D1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7" t="s">
        <v>38</v>
      </c>
      <c r="F127" t="str">
        <f>IF((world_cup_matches9[[#This Row],[StageOrder]]&gt;=7),"High Pressure","Low Pressure")</f>
        <v>Low Pressure</v>
      </c>
      <c r="G127" t="s">
        <v>23</v>
      </c>
      <c r="H127">
        <v>0</v>
      </c>
      <c r="I127">
        <v>0</v>
      </c>
      <c r="J127" t="s">
        <v>3</v>
      </c>
      <c r="K127">
        <f>world_cup_matches9[[#This Row],[Home Goals]]+world_cup_matches9[[#This Row],[Away Goals]]</f>
        <v>0</v>
      </c>
      <c r="L127" t="s">
        <v>132</v>
      </c>
      <c r="M1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7" t="b">
        <v>0</v>
      </c>
    </row>
    <row r="128" spans="1:14" x14ac:dyDescent="0.3">
      <c r="A128">
        <v>111</v>
      </c>
      <c r="B128">
        <v>1958</v>
      </c>
      <c r="C128" s="2">
        <v>21347</v>
      </c>
      <c r="D128" s="3" cm="1">
        <f t="array" ref="D1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8" t="s">
        <v>38</v>
      </c>
      <c r="F128" t="str">
        <f>IF((world_cup_matches9[[#This Row],[StageOrder]]&gt;=7),"High Pressure","Low Pressure")</f>
        <v>Low Pressure</v>
      </c>
      <c r="G128" t="s">
        <v>9</v>
      </c>
      <c r="H128">
        <v>1</v>
      </c>
      <c r="I128">
        <v>1</v>
      </c>
      <c r="J128" t="s">
        <v>6</v>
      </c>
      <c r="K128">
        <f>world_cup_matches9[[#This Row],[Home Goals]]+world_cup_matches9[[#This Row],[Away Goals]]</f>
        <v>2</v>
      </c>
      <c r="L128" t="s">
        <v>132</v>
      </c>
      <c r="M1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8" t="b">
        <v>0</v>
      </c>
    </row>
    <row r="129" spans="1:14" x14ac:dyDescent="0.3">
      <c r="A129">
        <v>112</v>
      </c>
      <c r="B129">
        <v>1958</v>
      </c>
      <c r="C129" s="2">
        <v>21347</v>
      </c>
      <c r="D129" s="3" cm="1">
        <f t="array" ref="D1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29" t="s">
        <v>38</v>
      </c>
      <c r="F129" t="str">
        <f>IF((world_cup_matches9[[#This Row],[StageOrder]]&gt;=7),"High Pressure","Low Pressure")</f>
        <v>Low Pressure</v>
      </c>
      <c r="G129" t="s">
        <v>65</v>
      </c>
      <c r="H129">
        <v>3</v>
      </c>
      <c r="I129">
        <v>2</v>
      </c>
      <c r="J129" t="s">
        <v>49</v>
      </c>
      <c r="K129">
        <f>world_cup_matches9[[#This Row],[Home Goals]]+world_cup_matches9[[#This Row],[Away Goals]]</f>
        <v>5</v>
      </c>
      <c r="L129" t="s">
        <v>132</v>
      </c>
      <c r="M1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29" t="b">
        <v>0</v>
      </c>
    </row>
    <row r="130" spans="1:14" x14ac:dyDescent="0.3">
      <c r="A130">
        <v>113</v>
      </c>
      <c r="B130">
        <v>1958</v>
      </c>
      <c r="C130" s="2">
        <v>21347</v>
      </c>
      <c r="D130" s="3" cm="1">
        <f t="array" ref="D1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0" t="s">
        <v>38</v>
      </c>
      <c r="F130" t="str">
        <f>IF((world_cup_matches9[[#This Row],[StageOrder]]&gt;=7),"High Pressure","Low Pressure")</f>
        <v>Low Pressure</v>
      </c>
      <c r="G130" t="s">
        <v>69</v>
      </c>
      <c r="H130">
        <v>3</v>
      </c>
      <c r="I130">
        <v>2</v>
      </c>
      <c r="J130" t="s">
        <v>11</v>
      </c>
      <c r="K130">
        <f>world_cup_matches9[[#This Row],[Home Goals]]+world_cup_matches9[[#This Row],[Away Goals]]</f>
        <v>5</v>
      </c>
      <c r="L130" t="s">
        <v>132</v>
      </c>
      <c r="M1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0" t="b">
        <v>0</v>
      </c>
    </row>
    <row r="131" spans="1:14" x14ac:dyDescent="0.3">
      <c r="A131">
        <v>114</v>
      </c>
      <c r="B131">
        <v>1958</v>
      </c>
      <c r="C131" s="2">
        <v>21347</v>
      </c>
      <c r="D131" s="3" cm="1">
        <f t="array" ref="D1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1" t="s">
        <v>38</v>
      </c>
      <c r="F131" t="str">
        <f>IF((world_cup_matches9[[#This Row],[StageOrder]]&gt;=7),"High Pressure","Low Pressure")</f>
        <v>Low Pressure</v>
      </c>
      <c r="G131" t="s">
        <v>54</v>
      </c>
      <c r="H131">
        <v>2</v>
      </c>
      <c r="I131">
        <v>0</v>
      </c>
      <c r="J131" t="s">
        <v>55</v>
      </c>
      <c r="K131">
        <f>world_cup_matches9[[#This Row],[Home Goals]]+world_cup_matches9[[#This Row],[Away Goals]]</f>
        <v>2</v>
      </c>
      <c r="L131" t="s">
        <v>132</v>
      </c>
      <c r="M1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1" t="b">
        <v>0</v>
      </c>
    </row>
    <row r="132" spans="1:14" x14ac:dyDescent="0.3">
      <c r="A132">
        <v>115</v>
      </c>
      <c r="B132">
        <v>1958</v>
      </c>
      <c r="C132" s="2">
        <v>21347</v>
      </c>
      <c r="D132" s="3" cm="1">
        <f t="array" ref="D1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2" t="s">
        <v>38</v>
      </c>
      <c r="F132" t="str">
        <f>IF((world_cup_matches9[[#This Row],[StageOrder]]&gt;=7),"High Pressure","Low Pressure")</f>
        <v>Low Pressure</v>
      </c>
      <c r="G132" t="s">
        <v>17</v>
      </c>
      <c r="H132">
        <v>2</v>
      </c>
      <c r="I132">
        <v>2</v>
      </c>
      <c r="J132" t="s">
        <v>61</v>
      </c>
      <c r="K132">
        <f>world_cup_matches9[[#This Row],[Home Goals]]+world_cup_matches9[[#This Row],[Away Goals]]</f>
        <v>4</v>
      </c>
      <c r="L132" t="s">
        <v>132</v>
      </c>
      <c r="M1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2" t="b">
        <v>0</v>
      </c>
    </row>
    <row r="133" spans="1:14" x14ac:dyDescent="0.3">
      <c r="A133">
        <v>116</v>
      </c>
      <c r="B133">
        <v>1958</v>
      </c>
      <c r="C133" s="2">
        <v>21347</v>
      </c>
      <c r="D133" s="3" cm="1">
        <f t="array" ref="D1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3" t="s">
        <v>38</v>
      </c>
      <c r="F133" t="str">
        <f>IF((world_cup_matches9[[#This Row],[StageOrder]]&gt;=7),"High Pressure","Low Pressure")</f>
        <v>Low Pressure</v>
      </c>
      <c r="G133" t="s">
        <v>7</v>
      </c>
      <c r="H133">
        <v>3</v>
      </c>
      <c r="I133">
        <v>1</v>
      </c>
      <c r="J133" t="s">
        <v>60</v>
      </c>
      <c r="K133">
        <f>world_cup_matches9[[#This Row],[Home Goals]]+world_cup_matches9[[#This Row],[Away Goals]]</f>
        <v>4</v>
      </c>
      <c r="L133" t="s">
        <v>132</v>
      </c>
      <c r="M1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3" t="b">
        <v>0</v>
      </c>
    </row>
    <row r="134" spans="1:14" x14ac:dyDescent="0.3">
      <c r="A134">
        <v>117</v>
      </c>
      <c r="B134">
        <v>1958</v>
      </c>
      <c r="C134" s="2">
        <v>21348</v>
      </c>
      <c r="D134" s="3" cm="1">
        <f t="array" ref="D1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4" t="s">
        <v>38</v>
      </c>
      <c r="F134" t="str">
        <f>IF((world_cup_matches9[[#This Row],[StageOrder]]&gt;=7),"High Pressure","Low Pressure")</f>
        <v>Low Pressure</v>
      </c>
      <c r="G134" t="s">
        <v>62</v>
      </c>
      <c r="H134">
        <v>2</v>
      </c>
      <c r="I134">
        <v>1</v>
      </c>
      <c r="J134" t="s">
        <v>52</v>
      </c>
      <c r="K134">
        <f>world_cup_matches9[[#This Row],[Home Goals]]+world_cup_matches9[[#This Row],[Away Goals]]</f>
        <v>3</v>
      </c>
      <c r="L134" t="s">
        <v>132</v>
      </c>
      <c r="M1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4" t="b">
        <v>1</v>
      </c>
    </row>
    <row r="135" spans="1:14" x14ac:dyDescent="0.3">
      <c r="A135">
        <v>118</v>
      </c>
      <c r="B135">
        <v>1958</v>
      </c>
      <c r="C135" s="2">
        <v>21351</v>
      </c>
      <c r="D135" s="3" cm="1">
        <f t="array" ref="D1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5" t="s">
        <v>38</v>
      </c>
      <c r="F135" t="str">
        <f>IF((world_cup_matches9[[#This Row],[StageOrder]]&gt;=7),"High Pressure","Low Pressure")</f>
        <v>Low Pressure</v>
      </c>
      <c r="G135" t="s">
        <v>62</v>
      </c>
      <c r="H135">
        <v>0</v>
      </c>
      <c r="I135">
        <v>0</v>
      </c>
      <c r="J135" t="s">
        <v>6</v>
      </c>
      <c r="K135">
        <f>world_cup_matches9[[#This Row],[Home Goals]]+world_cup_matches9[[#This Row],[Away Goals]]</f>
        <v>0</v>
      </c>
      <c r="L135" t="s">
        <v>132</v>
      </c>
      <c r="M1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5" t="b">
        <v>1</v>
      </c>
    </row>
    <row r="136" spans="1:14" x14ac:dyDescent="0.3">
      <c r="A136">
        <v>119</v>
      </c>
      <c r="B136">
        <v>1958</v>
      </c>
      <c r="C136" s="2">
        <v>21351</v>
      </c>
      <c r="D136" s="3" cm="1">
        <f t="array" ref="D1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6" t="s">
        <v>38</v>
      </c>
      <c r="F136" t="str">
        <f>IF((world_cup_matches9[[#This Row],[StageOrder]]&gt;=7),"High Pressure","Low Pressure")</f>
        <v>Low Pressure</v>
      </c>
      <c r="G136" t="s">
        <v>23</v>
      </c>
      <c r="H136">
        <v>2</v>
      </c>
      <c r="I136">
        <v>0</v>
      </c>
      <c r="J136" t="s">
        <v>54</v>
      </c>
      <c r="K136">
        <f>world_cup_matches9[[#This Row],[Home Goals]]+world_cup_matches9[[#This Row],[Away Goals]]</f>
        <v>2</v>
      </c>
      <c r="L136" t="s">
        <v>132</v>
      </c>
      <c r="M1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6" t="b">
        <v>0</v>
      </c>
    </row>
    <row r="137" spans="1:14" x14ac:dyDescent="0.3">
      <c r="A137">
        <v>120</v>
      </c>
      <c r="B137">
        <v>1958</v>
      </c>
      <c r="C137" s="2">
        <v>21351</v>
      </c>
      <c r="D137" s="3" cm="1">
        <f t="array" ref="D1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7" t="s">
        <v>38</v>
      </c>
      <c r="F137" t="str">
        <f>IF((world_cup_matches9[[#This Row],[StageOrder]]&gt;=7),"High Pressure","Low Pressure")</f>
        <v>Low Pressure</v>
      </c>
      <c r="G137" t="s">
        <v>17</v>
      </c>
      <c r="H137">
        <v>2</v>
      </c>
      <c r="I137">
        <v>2</v>
      </c>
      <c r="J137" t="s">
        <v>60</v>
      </c>
      <c r="K137">
        <f>world_cup_matches9[[#This Row],[Home Goals]]+world_cup_matches9[[#This Row],[Away Goals]]</f>
        <v>4</v>
      </c>
      <c r="L137" t="s">
        <v>132</v>
      </c>
      <c r="M1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7" t="b">
        <v>0</v>
      </c>
    </row>
    <row r="138" spans="1:14" x14ac:dyDescent="0.3">
      <c r="A138">
        <v>121</v>
      </c>
      <c r="B138">
        <v>1958</v>
      </c>
      <c r="C138" s="2">
        <v>21351</v>
      </c>
      <c r="D138" s="3" cm="1">
        <f t="array" ref="D1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8" t="s">
        <v>38</v>
      </c>
      <c r="F138" t="str">
        <f>IF((world_cup_matches9[[#This Row],[StageOrder]]&gt;=7),"High Pressure","Low Pressure")</f>
        <v>Low Pressure</v>
      </c>
      <c r="G138" t="s">
        <v>52</v>
      </c>
      <c r="H138">
        <v>4</v>
      </c>
      <c r="I138">
        <v>0</v>
      </c>
      <c r="J138" t="s">
        <v>9</v>
      </c>
      <c r="K138">
        <f>world_cup_matches9[[#This Row],[Home Goals]]+world_cup_matches9[[#This Row],[Away Goals]]</f>
        <v>4</v>
      </c>
      <c r="L138" t="s">
        <v>132</v>
      </c>
      <c r="M1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8" t="b">
        <v>0</v>
      </c>
    </row>
    <row r="139" spans="1:14" x14ac:dyDescent="0.3">
      <c r="A139">
        <v>122</v>
      </c>
      <c r="B139">
        <v>1958</v>
      </c>
      <c r="C139" s="2">
        <v>21351</v>
      </c>
      <c r="D139" s="3" cm="1">
        <f t="array" ref="D1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39" t="s">
        <v>38</v>
      </c>
      <c r="F139" t="str">
        <f>IF((world_cup_matches9[[#This Row],[StageOrder]]&gt;=7),"High Pressure","Low Pressure")</f>
        <v>Low Pressure</v>
      </c>
      <c r="G139" t="s">
        <v>65</v>
      </c>
      <c r="H139">
        <v>3</v>
      </c>
      <c r="I139">
        <v>3</v>
      </c>
      <c r="J139" t="s">
        <v>69</v>
      </c>
      <c r="K139">
        <f>world_cup_matches9[[#This Row],[Home Goals]]+world_cup_matches9[[#This Row],[Away Goals]]</f>
        <v>6</v>
      </c>
      <c r="L139" t="s">
        <v>132</v>
      </c>
      <c r="M1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39" t="b">
        <v>0</v>
      </c>
    </row>
    <row r="140" spans="1:14" x14ac:dyDescent="0.3">
      <c r="A140">
        <v>123</v>
      </c>
      <c r="B140">
        <v>1958</v>
      </c>
      <c r="C140" s="2">
        <v>21351</v>
      </c>
      <c r="D140" s="3" cm="1">
        <f t="array" ref="D1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0" t="s">
        <v>38</v>
      </c>
      <c r="F140" t="str">
        <f>IF((world_cup_matches9[[#This Row],[StageOrder]]&gt;=7),"High Pressure","Low Pressure")</f>
        <v>Low Pressure</v>
      </c>
      <c r="G140" t="s">
        <v>11</v>
      </c>
      <c r="H140">
        <v>2</v>
      </c>
      <c r="I140">
        <v>1</v>
      </c>
      <c r="J140" t="s">
        <v>49</v>
      </c>
      <c r="K140">
        <f>world_cup_matches9[[#This Row],[Home Goals]]+world_cup_matches9[[#This Row],[Away Goals]]</f>
        <v>3</v>
      </c>
      <c r="L140" t="s">
        <v>132</v>
      </c>
      <c r="M1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0" t="b">
        <v>0</v>
      </c>
    </row>
    <row r="141" spans="1:14" x14ac:dyDescent="0.3">
      <c r="A141">
        <v>124</v>
      </c>
      <c r="B141">
        <v>1958</v>
      </c>
      <c r="C141" s="2">
        <v>21351</v>
      </c>
      <c r="D141" s="3" cm="1">
        <f t="array" ref="D1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1" t="s">
        <v>38</v>
      </c>
      <c r="F141" t="str">
        <f>IF((world_cup_matches9[[#This Row],[StageOrder]]&gt;=7),"High Pressure","Low Pressure")</f>
        <v>Low Pressure</v>
      </c>
      <c r="G141" t="s">
        <v>3</v>
      </c>
      <c r="H141">
        <v>2</v>
      </c>
      <c r="I141">
        <v>2</v>
      </c>
      <c r="J141" t="s">
        <v>55</v>
      </c>
      <c r="K141">
        <f>world_cup_matches9[[#This Row],[Home Goals]]+world_cup_matches9[[#This Row],[Away Goals]]</f>
        <v>4</v>
      </c>
      <c r="L141" t="s">
        <v>132</v>
      </c>
      <c r="M1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1" t="b">
        <v>0</v>
      </c>
    </row>
    <row r="142" spans="1:14" x14ac:dyDescent="0.3">
      <c r="A142">
        <v>125</v>
      </c>
      <c r="B142">
        <v>1958</v>
      </c>
      <c r="C142" s="2">
        <v>21351</v>
      </c>
      <c r="D142" s="3" cm="1">
        <f t="array" ref="D1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2" t="s">
        <v>38</v>
      </c>
      <c r="F142" t="str">
        <f>IF((world_cup_matches9[[#This Row],[StageOrder]]&gt;=7),"High Pressure","Low Pressure")</f>
        <v>Low Pressure</v>
      </c>
      <c r="G142" t="s">
        <v>61</v>
      </c>
      <c r="H142">
        <v>6</v>
      </c>
      <c r="I142">
        <v>1</v>
      </c>
      <c r="J142" t="s">
        <v>7</v>
      </c>
      <c r="K142">
        <f>world_cup_matches9[[#This Row],[Home Goals]]+world_cup_matches9[[#This Row],[Away Goals]]</f>
        <v>7</v>
      </c>
      <c r="L142" t="s">
        <v>132</v>
      </c>
      <c r="M1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2" t="b">
        <v>0</v>
      </c>
    </row>
    <row r="143" spans="1:14" x14ac:dyDescent="0.3">
      <c r="A143">
        <v>126</v>
      </c>
      <c r="B143">
        <v>1958</v>
      </c>
      <c r="C143" s="2">
        <v>21353</v>
      </c>
      <c r="D143" s="3" cm="1">
        <f t="array" ref="D1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3" t="s">
        <v>38</v>
      </c>
      <c r="F143" t="str">
        <f>IF((world_cup_matches9[[#This Row],[StageOrder]]&gt;=7),"High Pressure","Low Pressure")</f>
        <v>Low Pressure</v>
      </c>
      <c r="G143" t="s">
        <v>54</v>
      </c>
      <c r="H143">
        <v>1</v>
      </c>
      <c r="I143">
        <v>0</v>
      </c>
      <c r="J143" t="s">
        <v>3</v>
      </c>
      <c r="K143">
        <f>world_cup_matches9[[#This Row],[Home Goals]]+world_cup_matches9[[#This Row],[Away Goals]]</f>
        <v>1</v>
      </c>
      <c r="L143" t="s">
        <v>132</v>
      </c>
      <c r="M1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3" t="b">
        <v>0</v>
      </c>
    </row>
    <row r="144" spans="1:14" x14ac:dyDescent="0.3">
      <c r="A144">
        <v>127</v>
      </c>
      <c r="B144">
        <v>1958</v>
      </c>
      <c r="C144" s="2">
        <v>21353</v>
      </c>
      <c r="D144" s="3" cm="1">
        <f t="array" ref="D1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4" t="s">
        <v>38</v>
      </c>
      <c r="F144" t="str">
        <f>IF((world_cup_matches9[[#This Row],[StageOrder]]&gt;=7),"High Pressure","Low Pressure")</f>
        <v>Low Pressure</v>
      </c>
      <c r="G144" t="s">
        <v>60</v>
      </c>
      <c r="H144">
        <v>2</v>
      </c>
      <c r="I144">
        <v>1</v>
      </c>
      <c r="J144" t="s">
        <v>61</v>
      </c>
      <c r="K144">
        <f>world_cup_matches9[[#This Row],[Home Goals]]+world_cup_matches9[[#This Row],[Away Goals]]</f>
        <v>3</v>
      </c>
      <c r="L144" t="s">
        <v>97</v>
      </c>
      <c r="M1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144" t="b">
        <v>0</v>
      </c>
    </row>
    <row r="145" spans="1:14" x14ac:dyDescent="0.3">
      <c r="A145">
        <v>128</v>
      </c>
      <c r="B145">
        <v>1958</v>
      </c>
      <c r="C145" s="2">
        <v>21353</v>
      </c>
      <c r="D145" s="3" cm="1">
        <f t="array" ref="D1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5" t="s">
        <v>38</v>
      </c>
      <c r="F145" t="str">
        <f>IF((world_cup_matches9[[#This Row],[StageOrder]]&gt;=7),"High Pressure","Low Pressure")</f>
        <v>Low Pressure</v>
      </c>
      <c r="G145" t="s">
        <v>6</v>
      </c>
      <c r="H145">
        <v>2</v>
      </c>
      <c r="I145">
        <v>1</v>
      </c>
      <c r="J145" t="s">
        <v>52</v>
      </c>
      <c r="K145">
        <f>world_cup_matches9[[#This Row],[Home Goals]]+world_cup_matches9[[#This Row],[Away Goals]]</f>
        <v>3</v>
      </c>
      <c r="L145" t="s">
        <v>132</v>
      </c>
      <c r="M1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5" t="b">
        <v>0</v>
      </c>
    </row>
    <row r="146" spans="1:14" x14ac:dyDescent="0.3">
      <c r="A146">
        <v>137</v>
      </c>
      <c r="B146">
        <v>1962</v>
      </c>
      <c r="C146" s="2">
        <v>22796</v>
      </c>
      <c r="D146" s="3" cm="1">
        <f t="array" ref="D1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6" t="s">
        <v>38</v>
      </c>
      <c r="F146" t="str">
        <f>IF((world_cup_matches9[[#This Row],[StageOrder]]&gt;=7),"High Pressure","Low Pressure")</f>
        <v>Low Pressure</v>
      </c>
      <c r="G146" t="s">
        <v>29</v>
      </c>
      <c r="H146">
        <v>2</v>
      </c>
      <c r="I146">
        <v>1</v>
      </c>
      <c r="J146" t="s">
        <v>53</v>
      </c>
      <c r="K146">
        <f>world_cup_matches9[[#This Row],[Home Goals]]+world_cup_matches9[[#This Row],[Away Goals]]</f>
        <v>3</v>
      </c>
      <c r="L146" t="s">
        <v>132</v>
      </c>
      <c r="M1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6" t="b">
        <v>0</v>
      </c>
    </row>
    <row r="147" spans="1:14" x14ac:dyDescent="0.3">
      <c r="A147">
        <v>138</v>
      </c>
      <c r="B147">
        <v>1962</v>
      </c>
      <c r="C147" s="2">
        <v>22796</v>
      </c>
      <c r="D147" s="3" cm="1">
        <f t="array" ref="D1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7" t="s">
        <v>38</v>
      </c>
      <c r="F147" t="str">
        <f>IF((world_cup_matches9[[#This Row],[StageOrder]]&gt;=7),"High Pressure","Low Pressure")</f>
        <v>Low Pressure</v>
      </c>
      <c r="G147" t="s">
        <v>23</v>
      </c>
      <c r="H147">
        <v>2</v>
      </c>
      <c r="I147">
        <v>0</v>
      </c>
      <c r="J147" t="s">
        <v>9</v>
      </c>
      <c r="K147">
        <f>world_cup_matches9[[#This Row],[Home Goals]]+world_cup_matches9[[#This Row],[Away Goals]]</f>
        <v>2</v>
      </c>
      <c r="L147" t="s">
        <v>132</v>
      </c>
      <c r="M1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7" t="b">
        <v>0</v>
      </c>
    </row>
    <row r="148" spans="1:14" x14ac:dyDescent="0.3">
      <c r="A148">
        <v>139</v>
      </c>
      <c r="B148">
        <v>1962</v>
      </c>
      <c r="C148" s="2">
        <v>22796</v>
      </c>
      <c r="D148" s="3" cm="1">
        <f t="array" ref="D1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8" t="s">
        <v>38</v>
      </c>
      <c r="F148" t="str">
        <f>IF((world_cup_matches9[[#This Row],[StageOrder]]&gt;=7),"High Pressure","Low Pressure")</f>
        <v>Low Pressure</v>
      </c>
      <c r="G148" t="s">
        <v>7</v>
      </c>
      <c r="H148">
        <v>1</v>
      </c>
      <c r="I148">
        <v>0</v>
      </c>
      <c r="J148" t="s">
        <v>74</v>
      </c>
      <c r="K148">
        <f>world_cup_matches9[[#This Row],[Home Goals]]+world_cup_matches9[[#This Row],[Away Goals]]</f>
        <v>1</v>
      </c>
      <c r="L148" t="s">
        <v>132</v>
      </c>
      <c r="M1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8" t="b">
        <v>0</v>
      </c>
    </row>
    <row r="149" spans="1:14" x14ac:dyDescent="0.3">
      <c r="A149">
        <v>140</v>
      </c>
      <c r="B149">
        <v>1962</v>
      </c>
      <c r="C149" s="2">
        <v>22796</v>
      </c>
      <c r="D149" s="3" cm="1">
        <f t="array" ref="D1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49" t="s">
        <v>38</v>
      </c>
      <c r="F149" t="str">
        <f>IF((world_cup_matches9[[#This Row],[StageOrder]]&gt;=7),"High Pressure","Low Pressure")</f>
        <v>Low Pressure</v>
      </c>
      <c r="G149" t="s">
        <v>63</v>
      </c>
      <c r="H149">
        <v>3</v>
      </c>
      <c r="I149">
        <v>1</v>
      </c>
      <c r="J149" t="s">
        <v>25</v>
      </c>
      <c r="K149">
        <f>world_cup_matches9[[#This Row],[Home Goals]]+world_cup_matches9[[#This Row],[Away Goals]]</f>
        <v>4</v>
      </c>
      <c r="L149" t="s">
        <v>132</v>
      </c>
      <c r="M1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49" t="b">
        <v>1</v>
      </c>
    </row>
    <row r="150" spans="1:14" x14ac:dyDescent="0.3">
      <c r="A150">
        <v>141</v>
      </c>
      <c r="B150">
        <v>1962</v>
      </c>
      <c r="C150" s="2">
        <v>22797</v>
      </c>
      <c r="D150" s="3" cm="1">
        <f t="array" ref="D1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0" t="s">
        <v>38</v>
      </c>
      <c r="F150" t="str">
        <f>IF((world_cup_matches9[[#This Row],[StageOrder]]&gt;=7),"High Pressure","Low Pressure")</f>
        <v>Low Pressure</v>
      </c>
      <c r="G150" t="s">
        <v>54</v>
      </c>
      <c r="H150">
        <v>2</v>
      </c>
      <c r="I150">
        <v>0</v>
      </c>
      <c r="J150" t="s">
        <v>69</v>
      </c>
      <c r="K150">
        <f>world_cup_matches9[[#This Row],[Home Goals]]+world_cup_matches9[[#This Row],[Away Goals]]</f>
        <v>2</v>
      </c>
      <c r="L150" t="s">
        <v>132</v>
      </c>
      <c r="M1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0" t="b">
        <v>0</v>
      </c>
    </row>
    <row r="151" spans="1:14" x14ac:dyDescent="0.3">
      <c r="A151">
        <v>142</v>
      </c>
      <c r="B151">
        <v>1962</v>
      </c>
      <c r="C151" s="2">
        <v>22797</v>
      </c>
      <c r="D151" s="3" cm="1">
        <f t="array" ref="D1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1" t="s">
        <v>38</v>
      </c>
      <c r="F151" t="str">
        <f>IF((world_cup_matches9[[#This Row],[StageOrder]]&gt;=7),"High Pressure","Low Pressure")</f>
        <v>Low Pressure</v>
      </c>
      <c r="G151" t="s">
        <v>61</v>
      </c>
      <c r="H151">
        <v>1</v>
      </c>
      <c r="I151">
        <v>0</v>
      </c>
      <c r="J151" t="s">
        <v>15</v>
      </c>
      <c r="K151">
        <f>world_cup_matches9[[#This Row],[Home Goals]]+world_cup_matches9[[#This Row],[Away Goals]]</f>
        <v>1</v>
      </c>
      <c r="L151" t="s">
        <v>132</v>
      </c>
      <c r="M1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1" t="b">
        <v>0</v>
      </c>
    </row>
    <row r="152" spans="1:14" x14ac:dyDescent="0.3">
      <c r="A152">
        <v>143</v>
      </c>
      <c r="B152">
        <v>1962</v>
      </c>
      <c r="C152" s="2">
        <v>22797</v>
      </c>
      <c r="D152" s="3" cm="1">
        <f t="array" ref="D1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2" t="s">
        <v>38</v>
      </c>
      <c r="F152" t="str">
        <f>IF((world_cup_matches9[[#This Row],[StageOrder]]&gt;=7),"High Pressure","Low Pressure")</f>
        <v>Low Pressure</v>
      </c>
      <c r="G152" t="s">
        <v>52</v>
      </c>
      <c r="H152">
        <v>2</v>
      </c>
      <c r="I152">
        <v>1</v>
      </c>
      <c r="J152" t="s">
        <v>3</v>
      </c>
      <c r="K152">
        <f>world_cup_matches9[[#This Row],[Home Goals]]+world_cup_matches9[[#This Row],[Away Goals]]</f>
        <v>3</v>
      </c>
      <c r="L152" t="s">
        <v>132</v>
      </c>
      <c r="M1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2" t="b">
        <v>0</v>
      </c>
    </row>
    <row r="153" spans="1:14" x14ac:dyDescent="0.3">
      <c r="A153">
        <v>144</v>
      </c>
      <c r="B153">
        <v>1962</v>
      </c>
      <c r="C153" s="2">
        <v>22797</v>
      </c>
      <c r="D153" s="3" cm="1">
        <f t="array" ref="D1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3" t="s">
        <v>38</v>
      </c>
      <c r="F153" t="str">
        <f>IF((world_cup_matches9[[#This Row],[StageOrder]]&gt;=7),"High Pressure","Low Pressure")</f>
        <v>Low Pressure</v>
      </c>
      <c r="G153" t="s">
        <v>17</v>
      </c>
      <c r="H153">
        <v>0</v>
      </c>
      <c r="I153">
        <v>0</v>
      </c>
      <c r="J153" t="s">
        <v>46</v>
      </c>
      <c r="K153">
        <f>world_cup_matches9[[#This Row],[Home Goals]]+world_cup_matches9[[#This Row],[Away Goals]]</f>
        <v>0</v>
      </c>
      <c r="L153" t="s">
        <v>132</v>
      </c>
      <c r="M1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3" t="b">
        <v>0</v>
      </c>
    </row>
    <row r="154" spans="1:14" x14ac:dyDescent="0.3">
      <c r="A154">
        <v>145</v>
      </c>
      <c r="B154">
        <v>1962</v>
      </c>
      <c r="C154" s="2">
        <v>22799</v>
      </c>
      <c r="D154" s="3" cm="1">
        <f t="array" ref="D1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4" t="s">
        <v>38</v>
      </c>
      <c r="F154" t="str">
        <f>IF((world_cup_matches9[[#This Row],[StageOrder]]&gt;=7),"High Pressure","Low Pressure")</f>
        <v>Low Pressure</v>
      </c>
      <c r="G154" t="s">
        <v>69</v>
      </c>
      <c r="H154">
        <v>3</v>
      </c>
      <c r="I154">
        <v>1</v>
      </c>
      <c r="J154" t="s">
        <v>29</v>
      </c>
      <c r="K154">
        <f>world_cup_matches9[[#This Row],[Home Goals]]+world_cup_matches9[[#This Row],[Away Goals]]</f>
        <v>4</v>
      </c>
      <c r="L154" t="s">
        <v>132</v>
      </c>
      <c r="M1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4" t="b">
        <v>0</v>
      </c>
    </row>
    <row r="155" spans="1:14" x14ac:dyDescent="0.3">
      <c r="A155">
        <v>146</v>
      </c>
      <c r="B155">
        <v>1962</v>
      </c>
      <c r="C155" s="2">
        <v>22799</v>
      </c>
      <c r="D155" s="3" cm="1">
        <f t="array" ref="D1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5" t="s">
        <v>38</v>
      </c>
      <c r="F155" t="str">
        <f>IF((world_cup_matches9[[#This Row],[StageOrder]]&gt;=7),"High Pressure","Low Pressure")</f>
        <v>Low Pressure</v>
      </c>
      <c r="G155" t="s">
        <v>23</v>
      </c>
      <c r="H155">
        <v>0</v>
      </c>
      <c r="I155">
        <v>0</v>
      </c>
      <c r="J155" t="s">
        <v>61</v>
      </c>
      <c r="K155">
        <f>world_cup_matches9[[#This Row],[Home Goals]]+world_cup_matches9[[#This Row],[Away Goals]]</f>
        <v>0</v>
      </c>
      <c r="L155" t="s">
        <v>132</v>
      </c>
      <c r="M1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5" t="b">
        <v>0</v>
      </c>
    </row>
    <row r="156" spans="1:14" x14ac:dyDescent="0.3">
      <c r="A156">
        <v>147</v>
      </c>
      <c r="B156">
        <v>1962</v>
      </c>
      <c r="C156" s="2">
        <v>22799</v>
      </c>
      <c r="D156" s="3" cm="1">
        <f t="array" ref="D1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6" t="s">
        <v>38</v>
      </c>
      <c r="F156" t="str">
        <f>IF((world_cup_matches9[[#This Row],[StageOrder]]&gt;=7),"High Pressure","Low Pressure")</f>
        <v>Low Pressure</v>
      </c>
      <c r="G156" t="s">
        <v>3</v>
      </c>
      <c r="H156">
        <v>3</v>
      </c>
      <c r="I156">
        <v>1</v>
      </c>
      <c r="J156" t="s">
        <v>7</v>
      </c>
      <c r="K156">
        <f>world_cup_matches9[[#This Row],[Home Goals]]+world_cup_matches9[[#This Row],[Away Goals]]</f>
        <v>4</v>
      </c>
      <c r="L156" t="s">
        <v>132</v>
      </c>
      <c r="M1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6" t="b">
        <v>0</v>
      </c>
    </row>
    <row r="157" spans="1:14" x14ac:dyDescent="0.3">
      <c r="A157">
        <v>148</v>
      </c>
      <c r="B157">
        <v>1962</v>
      </c>
      <c r="C157" s="2">
        <v>22799</v>
      </c>
      <c r="D157" s="3" cm="1">
        <f t="array" ref="D1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7" t="s">
        <v>38</v>
      </c>
      <c r="F157" t="str">
        <f>IF((world_cup_matches9[[#This Row],[StageOrder]]&gt;=7),"High Pressure","Low Pressure")</f>
        <v>Low Pressure</v>
      </c>
      <c r="G157" t="s">
        <v>63</v>
      </c>
      <c r="H157">
        <v>2</v>
      </c>
      <c r="I157">
        <v>0</v>
      </c>
      <c r="J157" t="s">
        <v>46</v>
      </c>
      <c r="K157">
        <f>world_cup_matches9[[#This Row],[Home Goals]]+world_cup_matches9[[#This Row],[Away Goals]]</f>
        <v>2</v>
      </c>
      <c r="L157" t="s">
        <v>132</v>
      </c>
      <c r="M1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7" t="b">
        <v>1</v>
      </c>
    </row>
    <row r="158" spans="1:14" x14ac:dyDescent="0.3">
      <c r="A158">
        <v>149</v>
      </c>
      <c r="B158">
        <v>1962</v>
      </c>
      <c r="C158" s="2">
        <v>22800</v>
      </c>
      <c r="D158" s="3" cm="1">
        <f t="array" ref="D1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8" t="s">
        <v>38</v>
      </c>
      <c r="F158" t="str">
        <f>IF((world_cup_matches9[[#This Row],[StageOrder]]&gt;=7),"High Pressure","Low Pressure")</f>
        <v>Low Pressure</v>
      </c>
      <c r="G158" t="s">
        <v>54</v>
      </c>
      <c r="H158">
        <v>4</v>
      </c>
      <c r="I158">
        <v>4</v>
      </c>
      <c r="J158" t="s">
        <v>53</v>
      </c>
      <c r="K158">
        <f>world_cup_matches9[[#This Row],[Home Goals]]+world_cup_matches9[[#This Row],[Away Goals]]</f>
        <v>8</v>
      </c>
      <c r="L158" t="s">
        <v>132</v>
      </c>
      <c r="M1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8" t="b">
        <v>0</v>
      </c>
    </row>
    <row r="159" spans="1:14" x14ac:dyDescent="0.3">
      <c r="A159">
        <v>150</v>
      </c>
      <c r="B159">
        <v>1962</v>
      </c>
      <c r="C159" s="2">
        <v>22800</v>
      </c>
      <c r="D159" s="3" cm="1">
        <f t="array" ref="D1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59" t="s">
        <v>38</v>
      </c>
      <c r="F159" t="str">
        <f>IF((world_cup_matches9[[#This Row],[StageOrder]]&gt;=7),"High Pressure","Low Pressure")</f>
        <v>Low Pressure</v>
      </c>
      <c r="G159" t="s">
        <v>15</v>
      </c>
      <c r="H159">
        <v>1</v>
      </c>
      <c r="I159">
        <v>0</v>
      </c>
      <c r="J159" t="s">
        <v>9</v>
      </c>
      <c r="K159">
        <f>world_cup_matches9[[#This Row],[Home Goals]]+world_cup_matches9[[#This Row],[Away Goals]]</f>
        <v>1</v>
      </c>
      <c r="L159" t="s">
        <v>132</v>
      </c>
      <c r="M1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59" t="b">
        <v>0</v>
      </c>
    </row>
    <row r="160" spans="1:14" x14ac:dyDescent="0.3">
      <c r="A160">
        <v>151</v>
      </c>
      <c r="B160">
        <v>1962</v>
      </c>
      <c r="C160" s="2">
        <v>22800</v>
      </c>
      <c r="D160" s="3" cm="1">
        <f t="array" ref="D1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0" t="s">
        <v>38</v>
      </c>
      <c r="F160" t="str">
        <f>IF((world_cup_matches9[[#This Row],[StageOrder]]&gt;=7),"High Pressure","Low Pressure")</f>
        <v>Low Pressure</v>
      </c>
      <c r="G160" t="s">
        <v>52</v>
      </c>
      <c r="H160">
        <v>6</v>
      </c>
      <c r="I160">
        <v>1</v>
      </c>
      <c r="J160" t="s">
        <v>74</v>
      </c>
      <c r="K160">
        <f>world_cup_matches9[[#This Row],[Home Goals]]+world_cup_matches9[[#This Row],[Away Goals]]</f>
        <v>7</v>
      </c>
      <c r="L160" t="s">
        <v>132</v>
      </c>
      <c r="M1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0" t="b">
        <v>0</v>
      </c>
    </row>
    <row r="161" spans="1:14" x14ac:dyDescent="0.3">
      <c r="A161">
        <v>152</v>
      </c>
      <c r="B161">
        <v>1962</v>
      </c>
      <c r="C161" s="2">
        <v>22800</v>
      </c>
      <c r="D161" s="3" cm="1">
        <f t="array" ref="D1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1" t="s">
        <v>38</v>
      </c>
      <c r="F161" t="str">
        <f>IF((world_cup_matches9[[#This Row],[StageOrder]]&gt;=7),"High Pressure","Low Pressure")</f>
        <v>Low Pressure</v>
      </c>
      <c r="G161" t="s">
        <v>17</v>
      </c>
      <c r="H161">
        <v>2</v>
      </c>
      <c r="I161">
        <v>1</v>
      </c>
      <c r="J161" t="s">
        <v>25</v>
      </c>
      <c r="K161">
        <f>world_cup_matches9[[#This Row],[Home Goals]]+world_cup_matches9[[#This Row],[Away Goals]]</f>
        <v>3</v>
      </c>
      <c r="L161" t="s">
        <v>132</v>
      </c>
      <c r="M1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1" t="b">
        <v>0</v>
      </c>
    </row>
    <row r="162" spans="1:14" x14ac:dyDescent="0.3">
      <c r="A162">
        <v>153</v>
      </c>
      <c r="B162">
        <v>1962</v>
      </c>
      <c r="C162" s="2">
        <v>22803</v>
      </c>
      <c r="D162" s="3" cm="1">
        <f t="array" ref="D1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2" t="s">
        <v>38</v>
      </c>
      <c r="F162" t="str">
        <f>IF((world_cup_matches9[[#This Row],[StageOrder]]&gt;=7),"High Pressure","Low Pressure")</f>
        <v>Low Pressure</v>
      </c>
      <c r="G162" t="s">
        <v>54</v>
      </c>
      <c r="H162">
        <v>2</v>
      </c>
      <c r="I162">
        <v>1</v>
      </c>
      <c r="J162" t="s">
        <v>29</v>
      </c>
      <c r="K162">
        <f>world_cup_matches9[[#This Row],[Home Goals]]+world_cup_matches9[[#This Row],[Away Goals]]</f>
        <v>3</v>
      </c>
      <c r="L162" t="s">
        <v>132</v>
      </c>
      <c r="M1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2" t="b">
        <v>0</v>
      </c>
    </row>
    <row r="163" spans="1:14" x14ac:dyDescent="0.3">
      <c r="A163">
        <v>154</v>
      </c>
      <c r="B163">
        <v>1962</v>
      </c>
      <c r="C163" s="2">
        <v>22803</v>
      </c>
      <c r="D163" s="3" cm="1">
        <f t="array" ref="D1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3" t="s">
        <v>38</v>
      </c>
      <c r="F163" t="str">
        <f>IF((world_cup_matches9[[#This Row],[StageOrder]]&gt;=7),"High Pressure","Low Pressure")</f>
        <v>Low Pressure</v>
      </c>
      <c r="G163" t="s">
        <v>23</v>
      </c>
      <c r="H163">
        <v>2</v>
      </c>
      <c r="I163">
        <v>1</v>
      </c>
      <c r="J163" t="s">
        <v>15</v>
      </c>
      <c r="K163">
        <f>world_cup_matches9[[#This Row],[Home Goals]]+world_cup_matches9[[#This Row],[Away Goals]]</f>
        <v>3</v>
      </c>
      <c r="L163" t="s">
        <v>132</v>
      </c>
      <c r="M1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3" t="b">
        <v>0</v>
      </c>
    </row>
    <row r="164" spans="1:14" x14ac:dyDescent="0.3">
      <c r="A164">
        <v>155</v>
      </c>
      <c r="B164">
        <v>1962</v>
      </c>
      <c r="C164" s="2">
        <v>22803</v>
      </c>
      <c r="D164" s="3" cm="1">
        <f t="array" ref="D1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4" t="s">
        <v>38</v>
      </c>
      <c r="F164" t="str">
        <f>IF((world_cup_matches9[[#This Row],[StageOrder]]&gt;=7),"High Pressure","Low Pressure")</f>
        <v>Low Pressure</v>
      </c>
      <c r="G164" t="s">
        <v>52</v>
      </c>
      <c r="H164">
        <v>0</v>
      </c>
      <c r="I164">
        <v>0</v>
      </c>
      <c r="J164" t="s">
        <v>7</v>
      </c>
      <c r="K164">
        <f>world_cup_matches9[[#This Row],[Home Goals]]+world_cup_matches9[[#This Row],[Away Goals]]</f>
        <v>0</v>
      </c>
      <c r="L164" t="s">
        <v>132</v>
      </c>
      <c r="M1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4" t="b">
        <v>0</v>
      </c>
    </row>
    <row r="165" spans="1:14" x14ac:dyDescent="0.3">
      <c r="A165">
        <v>156</v>
      </c>
      <c r="B165">
        <v>1962</v>
      </c>
      <c r="C165" s="2">
        <v>22803</v>
      </c>
      <c r="D165" s="3" cm="1">
        <f t="array" ref="D1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5" t="s">
        <v>38</v>
      </c>
      <c r="F165" t="str">
        <f>IF((world_cup_matches9[[#This Row],[StageOrder]]&gt;=7),"High Pressure","Low Pressure")</f>
        <v>Low Pressure</v>
      </c>
      <c r="G165" t="s">
        <v>63</v>
      </c>
      <c r="H165">
        <v>0</v>
      </c>
      <c r="I165">
        <v>2</v>
      </c>
      <c r="J165" t="s">
        <v>17</v>
      </c>
      <c r="K165">
        <f>world_cup_matches9[[#This Row],[Home Goals]]+world_cup_matches9[[#This Row],[Away Goals]]</f>
        <v>2</v>
      </c>
      <c r="L165" t="s">
        <v>132</v>
      </c>
      <c r="M1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5" t="b">
        <v>1</v>
      </c>
    </row>
    <row r="166" spans="1:14" x14ac:dyDescent="0.3">
      <c r="A166">
        <v>157</v>
      </c>
      <c r="B166">
        <v>1962</v>
      </c>
      <c r="C166" s="2">
        <v>22804</v>
      </c>
      <c r="D166" s="3" cm="1">
        <f t="array" ref="D1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6" t="s">
        <v>38</v>
      </c>
      <c r="F166" t="str">
        <f>IF((world_cup_matches9[[#This Row],[StageOrder]]&gt;=7),"High Pressure","Low Pressure")</f>
        <v>Low Pressure</v>
      </c>
      <c r="G166" t="s">
        <v>69</v>
      </c>
      <c r="H166">
        <v>5</v>
      </c>
      <c r="I166">
        <v>0</v>
      </c>
      <c r="J166" t="s">
        <v>53</v>
      </c>
      <c r="K166">
        <f>world_cup_matches9[[#This Row],[Home Goals]]+world_cup_matches9[[#This Row],[Away Goals]]</f>
        <v>5</v>
      </c>
      <c r="L166" t="s">
        <v>132</v>
      </c>
      <c r="M1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6" t="b">
        <v>0</v>
      </c>
    </row>
    <row r="167" spans="1:14" x14ac:dyDescent="0.3">
      <c r="A167">
        <v>158</v>
      </c>
      <c r="B167">
        <v>1962</v>
      </c>
      <c r="C167" s="2">
        <v>22804</v>
      </c>
      <c r="D167" s="3" cm="1">
        <f t="array" ref="D1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7" t="s">
        <v>38</v>
      </c>
      <c r="F167" t="str">
        <f>IF((world_cup_matches9[[#This Row],[StageOrder]]&gt;=7),"High Pressure","Low Pressure")</f>
        <v>Low Pressure</v>
      </c>
      <c r="G167" t="s">
        <v>9</v>
      </c>
      <c r="H167">
        <v>3</v>
      </c>
      <c r="I167">
        <v>1</v>
      </c>
      <c r="J167" t="s">
        <v>61</v>
      </c>
      <c r="K167">
        <f>world_cup_matches9[[#This Row],[Home Goals]]+world_cup_matches9[[#This Row],[Away Goals]]</f>
        <v>4</v>
      </c>
      <c r="L167" t="s">
        <v>132</v>
      </c>
      <c r="M1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7" t="b">
        <v>0</v>
      </c>
    </row>
    <row r="168" spans="1:14" x14ac:dyDescent="0.3">
      <c r="A168">
        <v>159</v>
      </c>
      <c r="B168">
        <v>1962</v>
      </c>
      <c r="C168" s="2">
        <v>22804</v>
      </c>
      <c r="D168" s="3" cm="1">
        <f t="array" ref="D1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8" t="s">
        <v>38</v>
      </c>
      <c r="F168" t="str">
        <f>IF((world_cup_matches9[[#This Row],[StageOrder]]&gt;=7),"High Pressure","Low Pressure")</f>
        <v>Low Pressure</v>
      </c>
      <c r="G168" t="s">
        <v>3</v>
      </c>
      <c r="H168">
        <v>0</v>
      </c>
      <c r="I168">
        <v>0</v>
      </c>
      <c r="J168" t="s">
        <v>74</v>
      </c>
      <c r="K168">
        <f>world_cup_matches9[[#This Row],[Home Goals]]+world_cup_matches9[[#This Row],[Away Goals]]</f>
        <v>0</v>
      </c>
      <c r="L168" t="s">
        <v>132</v>
      </c>
      <c r="M1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8" t="b">
        <v>0</v>
      </c>
    </row>
    <row r="169" spans="1:14" x14ac:dyDescent="0.3">
      <c r="A169">
        <v>160</v>
      </c>
      <c r="B169">
        <v>1962</v>
      </c>
      <c r="C169" s="2">
        <v>22804</v>
      </c>
      <c r="D169" s="3" cm="1">
        <f t="array" ref="D1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69" t="s">
        <v>38</v>
      </c>
      <c r="F169" t="str">
        <f>IF((world_cup_matches9[[#This Row],[StageOrder]]&gt;=7),"High Pressure","Low Pressure")</f>
        <v>Low Pressure</v>
      </c>
      <c r="G169" t="s">
        <v>46</v>
      </c>
      <c r="H169">
        <v>3</v>
      </c>
      <c r="I169">
        <v>0</v>
      </c>
      <c r="J169" t="s">
        <v>25</v>
      </c>
      <c r="K169">
        <f>world_cup_matches9[[#This Row],[Home Goals]]+world_cup_matches9[[#This Row],[Away Goals]]</f>
        <v>3</v>
      </c>
      <c r="L169" t="s">
        <v>132</v>
      </c>
      <c r="M1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69" t="b">
        <v>0</v>
      </c>
    </row>
    <row r="170" spans="1:14" x14ac:dyDescent="0.3">
      <c r="A170">
        <v>169</v>
      </c>
      <c r="B170">
        <v>1966</v>
      </c>
      <c r="C170" s="2">
        <v>24299</v>
      </c>
      <c r="D170" s="3" cm="1">
        <f t="array" ref="D1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0" t="s">
        <v>38</v>
      </c>
      <c r="F170" t="str">
        <f>IF((world_cup_matches9[[#This Row],[StageOrder]]&gt;=7),"High Pressure","Low Pressure")</f>
        <v>Low Pressure</v>
      </c>
      <c r="G170" t="s">
        <v>3</v>
      </c>
      <c r="H170">
        <v>0</v>
      </c>
      <c r="I170">
        <v>0</v>
      </c>
      <c r="J170" t="s">
        <v>29</v>
      </c>
      <c r="K170">
        <f>world_cup_matches9[[#This Row],[Home Goals]]+world_cup_matches9[[#This Row],[Away Goals]]</f>
        <v>0</v>
      </c>
      <c r="L170" t="s">
        <v>132</v>
      </c>
      <c r="M1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0" t="b">
        <v>1</v>
      </c>
    </row>
    <row r="171" spans="1:14" x14ac:dyDescent="0.3">
      <c r="A171">
        <v>170</v>
      </c>
      <c r="B171">
        <v>1966</v>
      </c>
      <c r="C171" s="2">
        <v>24300</v>
      </c>
      <c r="D171" s="3" cm="1">
        <f t="array" ref="D1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1" t="s">
        <v>38</v>
      </c>
      <c r="F171" t="str">
        <f>IF((world_cup_matches9[[#This Row],[StageOrder]]&gt;=7),"High Pressure","Low Pressure")</f>
        <v>Low Pressure</v>
      </c>
      <c r="G171" t="s">
        <v>17</v>
      </c>
      <c r="H171">
        <v>5</v>
      </c>
      <c r="I171">
        <v>0</v>
      </c>
      <c r="J171" t="s">
        <v>25</v>
      </c>
      <c r="K171">
        <f>world_cup_matches9[[#This Row],[Home Goals]]+world_cup_matches9[[#This Row],[Away Goals]]</f>
        <v>5</v>
      </c>
      <c r="L171" t="s">
        <v>132</v>
      </c>
      <c r="M1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1" t="b">
        <v>0</v>
      </c>
    </row>
    <row r="172" spans="1:14" x14ac:dyDescent="0.3">
      <c r="A172">
        <v>171</v>
      </c>
      <c r="B172">
        <v>1966</v>
      </c>
      <c r="C172" s="2">
        <v>24300</v>
      </c>
      <c r="D172" s="3" cm="1">
        <f t="array" ref="D1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2" t="s">
        <v>38</v>
      </c>
      <c r="F172" t="str">
        <f>IF((world_cup_matches9[[#This Row],[StageOrder]]&gt;=7),"High Pressure","Low Pressure")</f>
        <v>Low Pressure</v>
      </c>
      <c r="G172" t="s">
        <v>23</v>
      </c>
      <c r="H172">
        <v>2</v>
      </c>
      <c r="I172">
        <v>0</v>
      </c>
      <c r="J172" t="s">
        <v>74</v>
      </c>
      <c r="K172">
        <f>world_cup_matches9[[#This Row],[Home Goals]]+world_cup_matches9[[#This Row],[Away Goals]]</f>
        <v>2</v>
      </c>
      <c r="L172" t="s">
        <v>132</v>
      </c>
      <c r="M1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2" t="b">
        <v>0</v>
      </c>
    </row>
    <row r="173" spans="1:14" x14ac:dyDescent="0.3">
      <c r="A173">
        <v>172</v>
      </c>
      <c r="B173">
        <v>1966</v>
      </c>
      <c r="C173" s="2">
        <v>24300</v>
      </c>
      <c r="D173" s="3" cm="1">
        <f t="array" ref="D1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3" t="s">
        <v>38</v>
      </c>
      <c r="F173" t="str">
        <f>IF((world_cup_matches9[[#This Row],[StageOrder]]&gt;=7),"High Pressure","Low Pressure")</f>
        <v>Low Pressure</v>
      </c>
      <c r="G173" t="s">
        <v>54</v>
      </c>
      <c r="H173">
        <v>3</v>
      </c>
      <c r="I173">
        <v>0</v>
      </c>
      <c r="J173" t="s">
        <v>91</v>
      </c>
      <c r="K173">
        <f>world_cup_matches9[[#This Row],[Home Goals]]+world_cup_matches9[[#This Row],[Away Goals]]</f>
        <v>3</v>
      </c>
      <c r="L173" t="s">
        <v>132</v>
      </c>
      <c r="M1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3" t="b">
        <v>0</v>
      </c>
    </row>
    <row r="174" spans="1:14" x14ac:dyDescent="0.3">
      <c r="A174">
        <v>173</v>
      </c>
      <c r="B174">
        <v>1966</v>
      </c>
      <c r="C174" s="2">
        <v>24301</v>
      </c>
      <c r="D174" s="3" cm="1">
        <f t="array" ref="D1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4" t="s">
        <v>38</v>
      </c>
      <c r="F174" t="str">
        <f>IF((world_cup_matches9[[#This Row],[StageOrder]]&gt;=7),"High Pressure","Low Pressure")</f>
        <v>Low Pressure</v>
      </c>
      <c r="G174" t="s">
        <v>11</v>
      </c>
      <c r="H174">
        <v>1</v>
      </c>
      <c r="I174">
        <v>1</v>
      </c>
      <c r="J174" t="s">
        <v>9</v>
      </c>
      <c r="K174">
        <f>world_cup_matches9[[#This Row],[Home Goals]]+world_cup_matches9[[#This Row],[Away Goals]]</f>
        <v>2</v>
      </c>
      <c r="L174" t="s">
        <v>132</v>
      </c>
      <c r="M1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4" t="b">
        <v>0</v>
      </c>
    </row>
    <row r="175" spans="1:14" x14ac:dyDescent="0.3">
      <c r="A175">
        <v>174</v>
      </c>
      <c r="B175">
        <v>1966</v>
      </c>
      <c r="C175" s="2">
        <v>24301</v>
      </c>
      <c r="D175" s="3" cm="1">
        <f t="array" ref="D1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5" t="s">
        <v>38</v>
      </c>
      <c r="F175" t="str">
        <f>IF((world_cup_matches9[[#This Row],[StageOrder]]&gt;=7),"High Pressure","Low Pressure")</f>
        <v>Low Pressure</v>
      </c>
      <c r="G175" t="s">
        <v>27</v>
      </c>
      <c r="H175">
        <v>3</v>
      </c>
      <c r="I175">
        <v>1</v>
      </c>
      <c r="J175" t="s">
        <v>52</v>
      </c>
      <c r="K175">
        <f>world_cup_matches9[[#This Row],[Home Goals]]+world_cup_matches9[[#This Row],[Away Goals]]</f>
        <v>4</v>
      </c>
      <c r="L175" t="s">
        <v>132</v>
      </c>
      <c r="M1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5" t="b">
        <v>0</v>
      </c>
    </row>
    <row r="176" spans="1:14" x14ac:dyDescent="0.3">
      <c r="A176">
        <v>175</v>
      </c>
      <c r="B176">
        <v>1966</v>
      </c>
      <c r="C176" s="2">
        <v>24301</v>
      </c>
      <c r="D176" s="3" cm="1">
        <f t="array" ref="D1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6" t="s">
        <v>38</v>
      </c>
      <c r="F176" t="str">
        <f>IF((world_cup_matches9[[#This Row],[StageOrder]]&gt;=7),"High Pressure","Low Pressure")</f>
        <v>Low Pressure</v>
      </c>
      <c r="G176" t="s">
        <v>7</v>
      </c>
      <c r="H176">
        <v>2</v>
      </c>
      <c r="I176">
        <v>1</v>
      </c>
      <c r="J176" t="s">
        <v>15</v>
      </c>
      <c r="K176">
        <f>world_cup_matches9[[#This Row],[Home Goals]]+world_cup_matches9[[#This Row],[Away Goals]]</f>
        <v>3</v>
      </c>
      <c r="L176" t="s">
        <v>132</v>
      </c>
      <c r="M1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6" t="b">
        <v>0</v>
      </c>
    </row>
    <row r="177" spans="1:14" x14ac:dyDescent="0.3">
      <c r="A177">
        <v>176</v>
      </c>
      <c r="B177">
        <v>1966</v>
      </c>
      <c r="C177" s="2">
        <v>24301</v>
      </c>
      <c r="D177" s="3" cm="1">
        <f t="array" ref="D1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7" t="s">
        <v>38</v>
      </c>
      <c r="F177" t="str">
        <f>IF((world_cup_matches9[[#This Row],[StageOrder]]&gt;=7),"High Pressure","Low Pressure")</f>
        <v>Low Pressure</v>
      </c>
      <c r="G177" t="s">
        <v>46</v>
      </c>
      <c r="H177">
        <v>2</v>
      </c>
      <c r="I177">
        <v>0</v>
      </c>
      <c r="J177" t="s">
        <v>63</v>
      </c>
      <c r="K177">
        <f>world_cup_matches9[[#This Row],[Home Goals]]+world_cup_matches9[[#This Row],[Away Goals]]</f>
        <v>2</v>
      </c>
      <c r="L177" t="s">
        <v>132</v>
      </c>
      <c r="M1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7" t="b">
        <v>0</v>
      </c>
    </row>
    <row r="178" spans="1:14" x14ac:dyDescent="0.3">
      <c r="A178">
        <v>177</v>
      </c>
      <c r="B178">
        <v>1966</v>
      </c>
      <c r="C178" s="2">
        <v>24303</v>
      </c>
      <c r="D178" s="3" cm="1">
        <f t="array" ref="D1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8" t="s">
        <v>38</v>
      </c>
      <c r="F178" t="str">
        <f>IF((world_cup_matches9[[#This Row],[StageOrder]]&gt;=7),"High Pressure","Low Pressure")</f>
        <v>Low Pressure</v>
      </c>
      <c r="G178" t="s">
        <v>29</v>
      </c>
      <c r="H178">
        <v>2</v>
      </c>
      <c r="I178">
        <v>1</v>
      </c>
      <c r="J178" t="s">
        <v>11</v>
      </c>
      <c r="K178">
        <f>world_cup_matches9[[#This Row],[Home Goals]]+world_cup_matches9[[#This Row],[Away Goals]]</f>
        <v>3</v>
      </c>
      <c r="L178" t="s">
        <v>132</v>
      </c>
      <c r="M1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8" t="b">
        <v>0</v>
      </c>
    </row>
    <row r="179" spans="1:14" x14ac:dyDescent="0.3">
      <c r="A179">
        <v>178</v>
      </c>
      <c r="B179">
        <v>1966</v>
      </c>
      <c r="C179" s="2">
        <v>24303</v>
      </c>
      <c r="D179" s="3" cm="1">
        <f t="array" ref="D1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79" t="s">
        <v>38</v>
      </c>
      <c r="F179" t="str">
        <f>IF((world_cup_matches9[[#This Row],[StageOrder]]&gt;=7),"High Pressure","Low Pressure")</f>
        <v>Low Pressure</v>
      </c>
      <c r="G179" t="s">
        <v>15</v>
      </c>
      <c r="H179">
        <v>2</v>
      </c>
      <c r="I179">
        <v>1</v>
      </c>
      <c r="J179" t="s">
        <v>25</v>
      </c>
      <c r="K179">
        <f>world_cup_matches9[[#This Row],[Home Goals]]+world_cup_matches9[[#This Row],[Away Goals]]</f>
        <v>3</v>
      </c>
      <c r="L179" t="s">
        <v>132</v>
      </c>
      <c r="M1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79" t="b">
        <v>0</v>
      </c>
    </row>
    <row r="180" spans="1:14" x14ac:dyDescent="0.3">
      <c r="A180">
        <v>179</v>
      </c>
      <c r="B180">
        <v>1966</v>
      </c>
      <c r="C180" s="2">
        <v>24303</v>
      </c>
      <c r="D180" s="3" cm="1">
        <f t="array" ref="D1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0" t="s">
        <v>38</v>
      </c>
      <c r="F180" t="str">
        <f>IF((world_cup_matches9[[#This Row],[StageOrder]]&gt;=7),"High Pressure","Low Pressure")</f>
        <v>Low Pressure</v>
      </c>
      <c r="G180" t="s">
        <v>52</v>
      </c>
      <c r="H180">
        <v>3</v>
      </c>
      <c r="I180">
        <v>1</v>
      </c>
      <c r="J180" t="s">
        <v>23</v>
      </c>
      <c r="K180">
        <f>world_cup_matches9[[#This Row],[Home Goals]]+world_cup_matches9[[#This Row],[Away Goals]]</f>
        <v>4</v>
      </c>
      <c r="L180" t="s">
        <v>132</v>
      </c>
      <c r="M1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0" t="b">
        <v>0</v>
      </c>
    </row>
    <row r="181" spans="1:14" x14ac:dyDescent="0.3">
      <c r="A181">
        <v>180</v>
      </c>
      <c r="B181">
        <v>1966</v>
      </c>
      <c r="C181" s="2">
        <v>24303</v>
      </c>
      <c r="D181" s="3" cm="1">
        <f t="array" ref="D1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1" t="s">
        <v>38</v>
      </c>
      <c r="F181" t="str">
        <f>IF((world_cup_matches9[[#This Row],[StageOrder]]&gt;=7),"High Pressure","Low Pressure")</f>
        <v>Low Pressure</v>
      </c>
      <c r="G181" t="s">
        <v>91</v>
      </c>
      <c r="H181">
        <v>1</v>
      </c>
      <c r="I181">
        <v>1</v>
      </c>
      <c r="J181" t="s">
        <v>63</v>
      </c>
      <c r="K181">
        <f>world_cup_matches9[[#This Row],[Home Goals]]+world_cup_matches9[[#This Row],[Away Goals]]</f>
        <v>2</v>
      </c>
      <c r="L181" t="s">
        <v>132</v>
      </c>
      <c r="M1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1" t="b">
        <v>0</v>
      </c>
    </row>
    <row r="182" spans="1:14" x14ac:dyDescent="0.3">
      <c r="A182">
        <v>181</v>
      </c>
      <c r="B182">
        <v>1966</v>
      </c>
      <c r="C182" s="2">
        <v>24304</v>
      </c>
      <c r="D182" s="3" cm="1">
        <f t="array" ref="D1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2" t="s">
        <v>38</v>
      </c>
      <c r="F182" t="str">
        <f>IF((world_cup_matches9[[#This Row],[StageOrder]]&gt;=7),"High Pressure","Low Pressure")</f>
        <v>Low Pressure</v>
      </c>
      <c r="G182" t="s">
        <v>27</v>
      </c>
      <c r="H182">
        <v>3</v>
      </c>
      <c r="I182">
        <v>0</v>
      </c>
      <c r="J182" t="s">
        <v>74</v>
      </c>
      <c r="K182">
        <f>world_cup_matches9[[#This Row],[Home Goals]]+world_cup_matches9[[#This Row],[Away Goals]]</f>
        <v>3</v>
      </c>
      <c r="L182" t="s">
        <v>132</v>
      </c>
      <c r="M1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2" t="b">
        <v>0</v>
      </c>
    </row>
    <row r="183" spans="1:14" x14ac:dyDescent="0.3">
      <c r="A183">
        <v>182</v>
      </c>
      <c r="B183">
        <v>1966</v>
      </c>
      <c r="C183" s="2">
        <v>24304</v>
      </c>
      <c r="D183" s="3" cm="1">
        <f t="array" ref="D1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3" t="s">
        <v>38</v>
      </c>
      <c r="F183" t="str">
        <f>IF((world_cup_matches9[[#This Row],[StageOrder]]&gt;=7),"High Pressure","Low Pressure")</f>
        <v>Low Pressure</v>
      </c>
      <c r="G183" t="s">
        <v>17</v>
      </c>
      <c r="H183">
        <v>0</v>
      </c>
      <c r="I183">
        <v>0</v>
      </c>
      <c r="J183" t="s">
        <v>7</v>
      </c>
      <c r="K183">
        <f>world_cup_matches9[[#This Row],[Home Goals]]+world_cup_matches9[[#This Row],[Away Goals]]</f>
        <v>0</v>
      </c>
      <c r="L183" t="s">
        <v>132</v>
      </c>
      <c r="M1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3" t="b">
        <v>0</v>
      </c>
    </row>
    <row r="184" spans="1:14" x14ac:dyDescent="0.3">
      <c r="A184">
        <v>183</v>
      </c>
      <c r="B184">
        <v>1966</v>
      </c>
      <c r="C184" s="2">
        <v>24304</v>
      </c>
      <c r="D184" s="3" cm="1">
        <f t="array" ref="D1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4" t="s">
        <v>38</v>
      </c>
      <c r="F184" t="str">
        <f>IF((world_cup_matches9[[#This Row],[StageOrder]]&gt;=7),"High Pressure","Low Pressure")</f>
        <v>Low Pressure</v>
      </c>
      <c r="G184" t="s">
        <v>54</v>
      </c>
      <c r="H184">
        <v>1</v>
      </c>
      <c r="I184">
        <v>0</v>
      </c>
      <c r="J184" t="s">
        <v>46</v>
      </c>
      <c r="K184">
        <f>world_cup_matches9[[#This Row],[Home Goals]]+world_cup_matches9[[#This Row],[Away Goals]]</f>
        <v>1</v>
      </c>
      <c r="L184" t="s">
        <v>132</v>
      </c>
      <c r="M1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4" t="b">
        <v>0</v>
      </c>
    </row>
    <row r="185" spans="1:14" x14ac:dyDescent="0.3">
      <c r="A185">
        <v>184</v>
      </c>
      <c r="B185">
        <v>1966</v>
      </c>
      <c r="C185" s="2">
        <v>24304</v>
      </c>
      <c r="D185" s="3" cm="1">
        <f t="array" ref="D1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5" t="s">
        <v>38</v>
      </c>
      <c r="F185" t="str">
        <f>IF((world_cup_matches9[[#This Row],[StageOrder]]&gt;=7),"High Pressure","Low Pressure")</f>
        <v>Low Pressure</v>
      </c>
      <c r="G185" t="s">
        <v>3</v>
      </c>
      <c r="H185">
        <v>2</v>
      </c>
      <c r="I185">
        <v>0</v>
      </c>
      <c r="J185" t="s">
        <v>9</v>
      </c>
      <c r="K185">
        <f>world_cup_matches9[[#This Row],[Home Goals]]+world_cup_matches9[[#This Row],[Away Goals]]</f>
        <v>2</v>
      </c>
      <c r="L185" t="s">
        <v>132</v>
      </c>
      <c r="M1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5" t="b">
        <v>1</v>
      </c>
    </row>
    <row r="186" spans="1:14" x14ac:dyDescent="0.3">
      <c r="A186">
        <v>185</v>
      </c>
      <c r="B186">
        <v>1966</v>
      </c>
      <c r="C186" s="2">
        <v>24307</v>
      </c>
      <c r="D186" s="3" cm="1">
        <f t="array" ref="D1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6" t="s">
        <v>38</v>
      </c>
      <c r="F186" t="str">
        <f>IF((world_cup_matches9[[#This Row],[StageOrder]]&gt;=7),"High Pressure","Low Pressure")</f>
        <v>Low Pressure</v>
      </c>
      <c r="G186" t="s">
        <v>29</v>
      </c>
      <c r="H186">
        <v>0</v>
      </c>
      <c r="I186">
        <v>0</v>
      </c>
      <c r="J186" t="s">
        <v>9</v>
      </c>
      <c r="K186">
        <f>world_cup_matches9[[#This Row],[Home Goals]]+world_cup_matches9[[#This Row],[Away Goals]]</f>
        <v>0</v>
      </c>
      <c r="L186" t="s">
        <v>132</v>
      </c>
      <c r="M1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6" t="b">
        <v>0</v>
      </c>
    </row>
    <row r="187" spans="1:14" x14ac:dyDescent="0.3">
      <c r="A187">
        <v>186</v>
      </c>
      <c r="B187">
        <v>1966</v>
      </c>
      <c r="C187" s="2">
        <v>24307</v>
      </c>
      <c r="D187" s="3" cm="1">
        <f t="array" ref="D1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7" t="s">
        <v>38</v>
      </c>
      <c r="F187" t="str">
        <f>IF((world_cup_matches9[[#This Row],[StageOrder]]&gt;=7),"High Pressure","Low Pressure")</f>
        <v>Low Pressure</v>
      </c>
      <c r="G187" t="s">
        <v>7</v>
      </c>
      <c r="H187">
        <v>2</v>
      </c>
      <c r="I187">
        <v>0</v>
      </c>
      <c r="J187" t="s">
        <v>25</v>
      </c>
      <c r="K187">
        <f>world_cup_matches9[[#This Row],[Home Goals]]+world_cup_matches9[[#This Row],[Away Goals]]</f>
        <v>2</v>
      </c>
      <c r="L187" t="s">
        <v>132</v>
      </c>
      <c r="M1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7" t="b">
        <v>0</v>
      </c>
    </row>
    <row r="188" spans="1:14" x14ac:dyDescent="0.3">
      <c r="A188">
        <v>187</v>
      </c>
      <c r="B188">
        <v>1966</v>
      </c>
      <c r="C188" s="2">
        <v>24307</v>
      </c>
      <c r="D188" s="3" cm="1">
        <f t="array" ref="D1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8" t="s">
        <v>38</v>
      </c>
      <c r="F188" t="str">
        <f>IF((world_cup_matches9[[#This Row],[StageOrder]]&gt;=7),"High Pressure","Low Pressure")</f>
        <v>Low Pressure</v>
      </c>
      <c r="G188" t="s">
        <v>27</v>
      </c>
      <c r="H188">
        <v>3</v>
      </c>
      <c r="I188">
        <v>1</v>
      </c>
      <c r="J188" t="s">
        <v>23</v>
      </c>
      <c r="K188">
        <f>world_cup_matches9[[#This Row],[Home Goals]]+world_cup_matches9[[#This Row],[Away Goals]]</f>
        <v>4</v>
      </c>
      <c r="L188" t="s">
        <v>132</v>
      </c>
      <c r="M1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8" t="b">
        <v>0</v>
      </c>
    </row>
    <row r="189" spans="1:14" x14ac:dyDescent="0.3">
      <c r="A189">
        <v>188</v>
      </c>
      <c r="B189">
        <v>1966</v>
      </c>
      <c r="C189" s="2">
        <v>24307</v>
      </c>
      <c r="D189" s="3" cm="1">
        <f t="array" ref="D1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89" t="s">
        <v>38</v>
      </c>
      <c r="F189" t="str">
        <f>IF((world_cup_matches9[[#This Row],[StageOrder]]&gt;=7),"High Pressure","Low Pressure")</f>
        <v>Low Pressure</v>
      </c>
      <c r="G189" t="s">
        <v>91</v>
      </c>
      <c r="H189">
        <v>1</v>
      </c>
      <c r="I189">
        <v>0</v>
      </c>
      <c r="J189" t="s">
        <v>46</v>
      </c>
      <c r="K189">
        <f>world_cup_matches9[[#This Row],[Home Goals]]+world_cup_matches9[[#This Row],[Away Goals]]</f>
        <v>1</v>
      </c>
      <c r="L189" t="s">
        <v>132</v>
      </c>
      <c r="M1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89" t="b">
        <v>0</v>
      </c>
    </row>
    <row r="190" spans="1:14" x14ac:dyDescent="0.3">
      <c r="A190">
        <v>189</v>
      </c>
      <c r="B190">
        <v>1966</v>
      </c>
      <c r="C190" s="2">
        <v>24308</v>
      </c>
      <c r="D190" s="3" cm="1">
        <f t="array" ref="D1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0" t="s">
        <v>38</v>
      </c>
      <c r="F190" t="str">
        <f>IF((world_cup_matches9[[#This Row],[StageOrder]]&gt;=7),"High Pressure","Low Pressure")</f>
        <v>Low Pressure</v>
      </c>
      <c r="G190" t="s">
        <v>3</v>
      </c>
      <c r="H190">
        <v>2</v>
      </c>
      <c r="I190">
        <v>0</v>
      </c>
      <c r="J190" t="s">
        <v>11</v>
      </c>
      <c r="K190">
        <f>world_cup_matches9[[#This Row],[Home Goals]]+world_cup_matches9[[#This Row],[Away Goals]]</f>
        <v>2</v>
      </c>
      <c r="L190" t="s">
        <v>132</v>
      </c>
      <c r="M1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0" t="b">
        <v>1</v>
      </c>
    </row>
    <row r="191" spans="1:14" x14ac:dyDescent="0.3">
      <c r="A191">
        <v>190</v>
      </c>
      <c r="B191">
        <v>1966</v>
      </c>
      <c r="C191" s="2">
        <v>24308</v>
      </c>
      <c r="D191" s="3" cm="1">
        <f t="array" ref="D1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1" t="s">
        <v>38</v>
      </c>
      <c r="F191" t="str">
        <f>IF((world_cup_matches9[[#This Row],[StageOrder]]&gt;=7),"High Pressure","Low Pressure")</f>
        <v>Low Pressure</v>
      </c>
      <c r="G191" t="s">
        <v>52</v>
      </c>
      <c r="H191">
        <v>3</v>
      </c>
      <c r="I191">
        <v>1</v>
      </c>
      <c r="J191" t="s">
        <v>74</v>
      </c>
      <c r="K191">
        <f>world_cup_matches9[[#This Row],[Home Goals]]+world_cup_matches9[[#This Row],[Away Goals]]</f>
        <v>4</v>
      </c>
      <c r="L191" t="s">
        <v>132</v>
      </c>
      <c r="M1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1" t="b">
        <v>0</v>
      </c>
    </row>
    <row r="192" spans="1:14" x14ac:dyDescent="0.3">
      <c r="A192">
        <v>191</v>
      </c>
      <c r="B192">
        <v>1966</v>
      </c>
      <c r="C192" s="2">
        <v>24308</v>
      </c>
      <c r="D192" s="3" cm="1">
        <f t="array" ref="D1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2" t="s">
        <v>38</v>
      </c>
      <c r="F192" t="str">
        <f>IF((world_cup_matches9[[#This Row],[StageOrder]]&gt;=7),"High Pressure","Low Pressure")</f>
        <v>Low Pressure</v>
      </c>
      <c r="G192" t="s">
        <v>17</v>
      </c>
      <c r="H192">
        <v>2</v>
      </c>
      <c r="I192">
        <v>1</v>
      </c>
      <c r="J192" t="s">
        <v>15</v>
      </c>
      <c r="K192">
        <f>world_cup_matches9[[#This Row],[Home Goals]]+world_cup_matches9[[#This Row],[Away Goals]]</f>
        <v>3</v>
      </c>
      <c r="L192" t="s">
        <v>132</v>
      </c>
      <c r="M1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2" t="b">
        <v>0</v>
      </c>
    </row>
    <row r="193" spans="1:14" x14ac:dyDescent="0.3">
      <c r="A193">
        <v>192</v>
      </c>
      <c r="B193">
        <v>1966</v>
      </c>
      <c r="C193" s="2">
        <v>24308</v>
      </c>
      <c r="D193" s="3" cm="1">
        <f t="array" ref="D1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3" t="s">
        <v>38</v>
      </c>
      <c r="F193" t="str">
        <f>IF((world_cup_matches9[[#This Row],[StageOrder]]&gt;=7),"High Pressure","Low Pressure")</f>
        <v>Low Pressure</v>
      </c>
      <c r="G193" t="s">
        <v>54</v>
      </c>
      <c r="H193">
        <v>2</v>
      </c>
      <c r="I193">
        <v>1</v>
      </c>
      <c r="J193" t="s">
        <v>63</v>
      </c>
      <c r="K193">
        <f>world_cup_matches9[[#This Row],[Home Goals]]+world_cup_matches9[[#This Row],[Away Goals]]</f>
        <v>3</v>
      </c>
      <c r="L193" t="s">
        <v>132</v>
      </c>
      <c r="M1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3" t="b">
        <v>0</v>
      </c>
    </row>
    <row r="194" spans="1:14" x14ac:dyDescent="0.3">
      <c r="A194">
        <v>201</v>
      </c>
      <c r="B194">
        <v>1970</v>
      </c>
      <c r="C194" s="2">
        <v>25719</v>
      </c>
      <c r="D194" s="3" cm="1">
        <f t="array" ref="D1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4" t="s">
        <v>38</v>
      </c>
      <c r="F194" t="str">
        <f>IF((world_cup_matches9[[#This Row],[StageOrder]]&gt;=7),"High Pressure","Low Pressure")</f>
        <v>Low Pressure</v>
      </c>
      <c r="G194" t="s">
        <v>9</v>
      </c>
      <c r="H194">
        <v>0</v>
      </c>
      <c r="I194">
        <v>0</v>
      </c>
      <c r="J194" t="s">
        <v>54</v>
      </c>
      <c r="K194">
        <f>world_cup_matches9[[#This Row],[Home Goals]]+world_cup_matches9[[#This Row],[Away Goals]]</f>
        <v>0</v>
      </c>
      <c r="L194" t="s">
        <v>132</v>
      </c>
      <c r="M1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4" t="b">
        <v>1</v>
      </c>
    </row>
    <row r="195" spans="1:14" x14ac:dyDescent="0.3">
      <c r="A195">
        <v>202</v>
      </c>
      <c r="B195">
        <v>1970</v>
      </c>
      <c r="C195" s="2">
        <v>25721</v>
      </c>
      <c r="D195" s="3" cm="1">
        <f t="array" ref="D1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5" t="s">
        <v>38</v>
      </c>
      <c r="F195" t="str">
        <f>IF((world_cup_matches9[[#This Row],[StageOrder]]&gt;=7),"High Pressure","Low Pressure")</f>
        <v>Low Pressure</v>
      </c>
      <c r="G195" t="s">
        <v>29</v>
      </c>
      <c r="H195">
        <v>2</v>
      </c>
      <c r="I195">
        <v>0</v>
      </c>
      <c r="J195" t="s">
        <v>81</v>
      </c>
      <c r="K195">
        <f>world_cup_matches9[[#This Row],[Home Goals]]+world_cup_matches9[[#This Row],[Away Goals]]</f>
        <v>2</v>
      </c>
      <c r="L195" t="s">
        <v>132</v>
      </c>
      <c r="M1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5" t="b">
        <v>0</v>
      </c>
    </row>
    <row r="196" spans="1:14" x14ac:dyDescent="0.3">
      <c r="A196">
        <v>203</v>
      </c>
      <c r="B196">
        <v>1970</v>
      </c>
      <c r="C196" s="2">
        <v>25721</v>
      </c>
      <c r="D196" s="3" cm="1">
        <f t="array" ref="D1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6" t="s">
        <v>38</v>
      </c>
      <c r="F196" t="str">
        <f>IF((world_cup_matches9[[#This Row],[StageOrder]]&gt;=7),"High Pressure","Low Pressure")</f>
        <v>Low Pressure</v>
      </c>
      <c r="G196" t="s">
        <v>72</v>
      </c>
      <c r="H196">
        <v>3</v>
      </c>
      <c r="I196">
        <v>2</v>
      </c>
      <c r="J196" t="s">
        <v>74</v>
      </c>
      <c r="K196">
        <f>world_cup_matches9[[#This Row],[Home Goals]]+world_cup_matches9[[#This Row],[Away Goals]]</f>
        <v>5</v>
      </c>
      <c r="L196" t="s">
        <v>132</v>
      </c>
      <c r="M1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6" t="b">
        <v>0</v>
      </c>
    </row>
    <row r="197" spans="1:14" x14ac:dyDescent="0.3">
      <c r="A197">
        <v>204</v>
      </c>
      <c r="B197">
        <v>1970</v>
      </c>
      <c r="C197" s="2">
        <v>25721</v>
      </c>
      <c r="D197" s="3" cm="1">
        <f t="array" ref="D1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7" t="s">
        <v>38</v>
      </c>
      <c r="F197" t="str">
        <f>IF((world_cup_matches9[[#This Row],[StageOrder]]&gt;=7),"High Pressure","Low Pressure")</f>
        <v>Low Pressure</v>
      </c>
      <c r="G197" t="s">
        <v>3</v>
      </c>
      <c r="H197">
        <v>1</v>
      </c>
      <c r="I197">
        <v>0</v>
      </c>
      <c r="J197" t="s">
        <v>68</v>
      </c>
      <c r="K197">
        <f>world_cup_matches9[[#This Row],[Home Goals]]+world_cup_matches9[[#This Row],[Away Goals]]</f>
        <v>1</v>
      </c>
      <c r="L197" t="s">
        <v>132</v>
      </c>
      <c r="M1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7" t="b">
        <v>0</v>
      </c>
    </row>
    <row r="198" spans="1:14" x14ac:dyDescent="0.3">
      <c r="A198">
        <v>205</v>
      </c>
      <c r="B198">
        <v>1970</v>
      </c>
      <c r="C198" s="2">
        <v>25722</v>
      </c>
      <c r="D198" s="3" cm="1">
        <f t="array" ref="D1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8" t="s">
        <v>38</v>
      </c>
      <c r="F198" t="str">
        <f>IF((world_cup_matches9[[#This Row],[StageOrder]]&gt;=7),"High Pressure","Low Pressure")</f>
        <v>Low Pressure</v>
      </c>
      <c r="G198" t="s">
        <v>46</v>
      </c>
      <c r="H198">
        <v>1</v>
      </c>
      <c r="I198">
        <v>0</v>
      </c>
      <c r="J198" t="s">
        <v>62</v>
      </c>
      <c r="K198">
        <f>world_cup_matches9[[#This Row],[Home Goals]]+world_cup_matches9[[#This Row],[Away Goals]]</f>
        <v>1</v>
      </c>
      <c r="L198" t="s">
        <v>132</v>
      </c>
      <c r="M1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8" t="b">
        <v>0</v>
      </c>
    </row>
    <row r="199" spans="1:14" x14ac:dyDescent="0.3">
      <c r="A199">
        <v>206</v>
      </c>
      <c r="B199">
        <v>1970</v>
      </c>
      <c r="C199" s="2">
        <v>25722</v>
      </c>
      <c r="D199" s="3" cm="1">
        <f t="array" ref="D1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199" t="s">
        <v>38</v>
      </c>
      <c r="F199" t="str">
        <f>IF((world_cup_matches9[[#This Row],[StageOrder]]&gt;=7),"High Pressure","Low Pressure")</f>
        <v>Low Pressure</v>
      </c>
      <c r="G199" t="s">
        <v>17</v>
      </c>
      <c r="H199">
        <v>2</v>
      </c>
      <c r="I199">
        <v>1</v>
      </c>
      <c r="J199" t="s">
        <v>21</v>
      </c>
      <c r="K199">
        <f>world_cup_matches9[[#This Row],[Home Goals]]+world_cup_matches9[[#This Row],[Away Goals]]</f>
        <v>3</v>
      </c>
      <c r="L199" t="s">
        <v>132</v>
      </c>
      <c r="M1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199" t="b">
        <v>0</v>
      </c>
    </row>
    <row r="200" spans="1:14" x14ac:dyDescent="0.3">
      <c r="A200">
        <v>207</v>
      </c>
      <c r="B200">
        <v>1970</v>
      </c>
      <c r="C200" s="2">
        <v>25722</v>
      </c>
      <c r="D200" s="3" cm="1">
        <f t="array" ref="D2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0" t="s">
        <v>38</v>
      </c>
      <c r="F200" t="str">
        <f>IF((world_cup_matches9[[#This Row],[StageOrder]]&gt;=7),"High Pressure","Low Pressure")</f>
        <v>Low Pressure</v>
      </c>
      <c r="G200" t="s">
        <v>23</v>
      </c>
      <c r="H200">
        <v>4</v>
      </c>
      <c r="I200">
        <v>1</v>
      </c>
      <c r="J200" t="s">
        <v>61</v>
      </c>
      <c r="K200">
        <f>world_cup_matches9[[#This Row],[Home Goals]]+world_cup_matches9[[#This Row],[Away Goals]]</f>
        <v>5</v>
      </c>
      <c r="L200" t="s">
        <v>132</v>
      </c>
      <c r="M2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0" t="b">
        <v>0</v>
      </c>
    </row>
    <row r="201" spans="1:14" x14ac:dyDescent="0.3">
      <c r="A201">
        <v>208</v>
      </c>
      <c r="B201">
        <v>1970</v>
      </c>
      <c r="C201" s="2">
        <v>25722</v>
      </c>
      <c r="D201" s="3" cm="1">
        <f t="array" ref="D2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1" t="s">
        <v>38</v>
      </c>
      <c r="F201" t="str">
        <f>IF((world_cup_matches9[[#This Row],[StageOrder]]&gt;=7),"High Pressure","Low Pressure")</f>
        <v>Low Pressure</v>
      </c>
      <c r="G201" t="s">
        <v>19</v>
      </c>
      <c r="H201">
        <v>3</v>
      </c>
      <c r="I201">
        <v>0</v>
      </c>
      <c r="J201" t="s">
        <v>66</v>
      </c>
      <c r="K201">
        <f>world_cup_matches9[[#This Row],[Home Goals]]+world_cup_matches9[[#This Row],[Away Goals]]</f>
        <v>3</v>
      </c>
      <c r="L201" t="s">
        <v>132</v>
      </c>
      <c r="M2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1" t="b">
        <v>0</v>
      </c>
    </row>
    <row r="202" spans="1:14" x14ac:dyDescent="0.3">
      <c r="A202">
        <v>209</v>
      </c>
      <c r="B202">
        <v>1970</v>
      </c>
      <c r="C202" s="2">
        <v>25725</v>
      </c>
      <c r="D202" s="3" cm="1">
        <f t="array" ref="D2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2" t="s">
        <v>38</v>
      </c>
      <c r="F202" t="str">
        <f>IF((world_cup_matches9[[#This Row],[StageOrder]]&gt;=7),"High Pressure","Low Pressure")</f>
        <v>Low Pressure</v>
      </c>
      <c r="G202" t="s">
        <v>29</v>
      </c>
      <c r="H202">
        <v>0</v>
      </c>
      <c r="I202">
        <v>0</v>
      </c>
      <c r="J202" t="s">
        <v>46</v>
      </c>
      <c r="K202">
        <f>world_cup_matches9[[#This Row],[Home Goals]]+world_cup_matches9[[#This Row],[Away Goals]]</f>
        <v>0</v>
      </c>
      <c r="L202" t="s">
        <v>132</v>
      </c>
      <c r="M2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2" t="b">
        <v>0</v>
      </c>
    </row>
    <row r="203" spans="1:14" x14ac:dyDescent="0.3">
      <c r="A203">
        <v>210</v>
      </c>
      <c r="B203">
        <v>1970</v>
      </c>
      <c r="C203" s="2">
        <v>25725</v>
      </c>
      <c r="D203" s="3" cm="1">
        <f t="array" ref="D2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3" t="s">
        <v>38</v>
      </c>
      <c r="F203" t="str">
        <f>IF((world_cup_matches9[[#This Row],[StageOrder]]&gt;=7),"High Pressure","Low Pressure")</f>
        <v>Low Pressure</v>
      </c>
      <c r="G203" t="s">
        <v>72</v>
      </c>
      <c r="H203">
        <v>3</v>
      </c>
      <c r="I203">
        <v>0</v>
      </c>
      <c r="J203" t="s">
        <v>21</v>
      </c>
      <c r="K203">
        <f>world_cup_matches9[[#This Row],[Home Goals]]+world_cup_matches9[[#This Row],[Away Goals]]</f>
        <v>3</v>
      </c>
      <c r="L203" t="s">
        <v>132</v>
      </c>
      <c r="M2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3" t="b">
        <v>0</v>
      </c>
    </row>
    <row r="204" spans="1:14" x14ac:dyDescent="0.3">
      <c r="A204">
        <v>211</v>
      </c>
      <c r="B204">
        <v>1970</v>
      </c>
      <c r="C204" s="2">
        <v>25725</v>
      </c>
      <c r="D204" s="3" cm="1">
        <f t="array" ref="D2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4" t="s">
        <v>38</v>
      </c>
      <c r="F204" t="str">
        <f>IF((world_cup_matches9[[#This Row],[StageOrder]]&gt;=7),"High Pressure","Low Pressure")</f>
        <v>Low Pressure</v>
      </c>
      <c r="G204" t="s">
        <v>68</v>
      </c>
      <c r="H204">
        <v>2</v>
      </c>
      <c r="I204">
        <v>1</v>
      </c>
      <c r="J204" t="s">
        <v>61</v>
      </c>
      <c r="K204">
        <f>world_cup_matches9[[#This Row],[Home Goals]]+world_cup_matches9[[#This Row],[Away Goals]]</f>
        <v>3</v>
      </c>
      <c r="L204" t="s">
        <v>132</v>
      </c>
      <c r="M2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4" t="b">
        <v>0</v>
      </c>
    </row>
    <row r="205" spans="1:14" x14ac:dyDescent="0.3">
      <c r="A205">
        <v>212</v>
      </c>
      <c r="B205">
        <v>1970</v>
      </c>
      <c r="C205" s="2">
        <v>25725</v>
      </c>
      <c r="D205" s="3" cm="1">
        <f t="array" ref="D2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5" t="s">
        <v>38</v>
      </c>
      <c r="F205" t="str">
        <f>IF((world_cup_matches9[[#This Row],[StageOrder]]&gt;=7),"High Pressure","Low Pressure")</f>
        <v>Low Pressure</v>
      </c>
      <c r="G205" t="s">
        <v>54</v>
      </c>
      <c r="H205">
        <v>4</v>
      </c>
      <c r="I205">
        <v>1</v>
      </c>
      <c r="J205" t="s">
        <v>19</v>
      </c>
      <c r="K205">
        <f>world_cup_matches9[[#This Row],[Home Goals]]+world_cup_matches9[[#This Row],[Away Goals]]</f>
        <v>5</v>
      </c>
      <c r="L205" t="s">
        <v>132</v>
      </c>
      <c r="M2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5" t="b">
        <v>0</v>
      </c>
    </row>
    <row r="206" spans="1:14" x14ac:dyDescent="0.3">
      <c r="A206">
        <v>213</v>
      </c>
      <c r="B206">
        <v>1970</v>
      </c>
      <c r="C206" s="2">
        <v>25726</v>
      </c>
      <c r="D206" s="3" cm="1">
        <f t="array" ref="D2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6" t="s">
        <v>38</v>
      </c>
      <c r="F206" t="str">
        <f>IF((world_cup_matches9[[#This Row],[StageOrder]]&gt;=7),"High Pressure","Low Pressure")</f>
        <v>Low Pressure</v>
      </c>
      <c r="G206" t="s">
        <v>62</v>
      </c>
      <c r="H206">
        <v>1</v>
      </c>
      <c r="I206">
        <v>1</v>
      </c>
      <c r="J206" t="s">
        <v>81</v>
      </c>
      <c r="K206">
        <f>world_cup_matches9[[#This Row],[Home Goals]]+world_cup_matches9[[#This Row],[Away Goals]]</f>
        <v>2</v>
      </c>
      <c r="L206" t="s">
        <v>132</v>
      </c>
      <c r="M2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6" t="b">
        <v>0</v>
      </c>
    </row>
    <row r="207" spans="1:14" x14ac:dyDescent="0.3">
      <c r="A207">
        <v>214</v>
      </c>
      <c r="B207">
        <v>1970</v>
      </c>
      <c r="C207" s="2">
        <v>25726</v>
      </c>
      <c r="D207" s="3" cm="1">
        <f t="array" ref="D2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7" t="s">
        <v>38</v>
      </c>
      <c r="F207" t="str">
        <f>IF((world_cup_matches9[[#This Row],[StageOrder]]&gt;=7),"High Pressure","Low Pressure")</f>
        <v>Low Pressure</v>
      </c>
      <c r="G207" t="s">
        <v>17</v>
      </c>
      <c r="H207">
        <v>5</v>
      </c>
      <c r="I207">
        <v>2</v>
      </c>
      <c r="J207" t="s">
        <v>74</v>
      </c>
      <c r="K207">
        <f>world_cup_matches9[[#This Row],[Home Goals]]+world_cup_matches9[[#This Row],[Away Goals]]</f>
        <v>7</v>
      </c>
      <c r="L207" t="s">
        <v>132</v>
      </c>
      <c r="M2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7" t="b">
        <v>0</v>
      </c>
    </row>
    <row r="208" spans="1:14" x14ac:dyDescent="0.3">
      <c r="A208">
        <v>215</v>
      </c>
      <c r="B208">
        <v>1970</v>
      </c>
      <c r="C208" s="2">
        <v>25726</v>
      </c>
      <c r="D208" s="3" cm="1">
        <f t="array" ref="D2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8" t="s">
        <v>38</v>
      </c>
      <c r="F208" t="str">
        <f>IF((world_cup_matches9[[#This Row],[StageOrder]]&gt;=7),"High Pressure","Low Pressure")</f>
        <v>Low Pressure</v>
      </c>
      <c r="G208" t="s">
        <v>23</v>
      </c>
      <c r="H208">
        <v>1</v>
      </c>
      <c r="I208">
        <v>0</v>
      </c>
      <c r="J208" t="s">
        <v>3</v>
      </c>
      <c r="K208">
        <f>world_cup_matches9[[#This Row],[Home Goals]]+world_cup_matches9[[#This Row],[Away Goals]]</f>
        <v>1</v>
      </c>
      <c r="L208" t="s">
        <v>132</v>
      </c>
      <c r="M2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8" t="b">
        <v>0</v>
      </c>
    </row>
    <row r="209" spans="1:14" x14ac:dyDescent="0.3">
      <c r="A209">
        <v>216</v>
      </c>
      <c r="B209">
        <v>1970</v>
      </c>
      <c r="C209" s="2">
        <v>25726</v>
      </c>
      <c r="D209" s="3" cm="1">
        <f t="array" ref="D2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09" t="s">
        <v>38</v>
      </c>
      <c r="F209" t="str">
        <f>IF((world_cup_matches9[[#This Row],[StageOrder]]&gt;=7),"High Pressure","Low Pressure")</f>
        <v>Low Pressure</v>
      </c>
      <c r="G209" t="s">
        <v>9</v>
      </c>
      <c r="H209">
        <v>4</v>
      </c>
      <c r="I209">
        <v>0</v>
      </c>
      <c r="J209" t="s">
        <v>66</v>
      </c>
      <c r="K209">
        <f>world_cup_matches9[[#This Row],[Home Goals]]+world_cup_matches9[[#This Row],[Away Goals]]</f>
        <v>4</v>
      </c>
      <c r="L209" t="s">
        <v>132</v>
      </c>
      <c r="M2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09" t="b">
        <v>1</v>
      </c>
    </row>
    <row r="210" spans="1:14" x14ac:dyDescent="0.3">
      <c r="A210">
        <v>217</v>
      </c>
      <c r="B210">
        <v>1970</v>
      </c>
      <c r="C210" s="2">
        <v>25729</v>
      </c>
      <c r="D210" s="3" cm="1">
        <f t="array" ref="D2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0" t="s">
        <v>38</v>
      </c>
      <c r="F210" t="str">
        <f>IF((world_cup_matches9[[#This Row],[StageOrder]]&gt;=7),"High Pressure","Low Pressure")</f>
        <v>Low Pressure</v>
      </c>
      <c r="G210" t="s">
        <v>62</v>
      </c>
      <c r="H210">
        <v>1</v>
      </c>
      <c r="I210">
        <v>0</v>
      </c>
      <c r="J210" t="s">
        <v>29</v>
      </c>
      <c r="K210">
        <f>world_cup_matches9[[#This Row],[Home Goals]]+world_cup_matches9[[#This Row],[Away Goals]]</f>
        <v>1</v>
      </c>
      <c r="L210" t="s">
        <v>132</v>
      </c>
      <c r="M2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0" t="b">
        <v>0</v>
      </c>
    </row>
    <row r="211" spans="1:14" x14ac:dyDescent="0.3">
      <c r="A211">
        <v>218</v>
      </c>
      <c r="B211">
        <v>1970</v>
      </c>
      <c r="C211" s="2">
        <v>25729</v>
      </c>
      <c r="D211" s="3" cm="1">
        <f t="array" ref="D2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1" t="s">
        <v>38</v>
      </c>
      <c r="F211" t="str">
        <f>IF((world_cup_matches9[[#This Row],[StageOrder]]&gt;=7),"High Pressure","Low Pressure")</f>
        <v>Low Pressure</v>
      </c>
      <c r="G211" t="s">
        <v>17</v>
      </c>
      <c r="H211">
        <v>3</v>
      </c>
      <c r="I211">
        <v>1</v>
      </c>
      <c r="J211" t="s">
        <v>72</v>
      </c>
      <c r="K211">
        <f>world_cup_matches9[[#This Row],[Home Goals]]+world_cup_matches9[[#This Row],[Away Goals]]</f>
        <v>4</v>
      </c>
      <c r="L211" t="s">
        <v>132</v>
      </c>
      <c r="M2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1" t="b">
        <v>0</v>
      </c>
    </row>
    <row r="212" spans="1:14" x14ac:dyDescent="0.3">
      <c r="A212">
        <v>219</v>
      </c>
      <c r="B212">
        <v>1970</v>
      </c>
      <c r="C212" s="2">
        <v>25729</v>
      </c>
      <c r="D212" s="3" cm="1">
        <f t="array" ref="D2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2" t="s">
        <v>38</v>
      </c>
      <c r="F212" t="str">
        <f>IF((world_cup_matches9[[#This Row],[StageOrder]]&gt;=7),"High Pressure","Low Pressure")</f>
        <v>Low Pressure</v>
      </c>
      <c r="G212" t="s">
        <v>23</v>
      </c>
      <c r="H212">
        <v>3</v>
      </c>
      <c r="I212">
        <v>2</v>
      </c>
      <c r="J212" t="s">
        <v>68</v>
      </c>
      <c r="K212">
        <f>world_cup_matches9[[#This Row],[Home Goals]]+world_cup_matches9[[#This Row],[Away Goals]]</f>
        <v>5</v>
      </c>
      <c r="L212" t="s">
        <v>132</v>
      </c>
      <c r="M2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2" t="b">
        <v>0</v>
      </c>
    </row>
    <row r="213" spans="1:14" x14ac:dyDescent="0.3">
      <c r="A213">
        <v>220</v>
      </c>
      <c r="B213">
        <v>1970</v>
      </c>
      <c r="C213" s="2">
        <v>25729</v>
      </c>
      <c r="D213" s="3" cm="1">
        <f t="array" ref="D2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3" t="s">
        <v>38</v>
      </c>
      <c r="F213" t="str">
        <f>IF((world_cup_matches9[[#This Row],[StageOrder]]&gt;=7),"High Pressure","Low Pressure")</f>
        <v>Low Pressure</v>
      </c>
      <c r="G213" t="s">
        <v>54</v>
      </c>
      <c r="H213">
        <v>2</v>
      </c>
      <c r="I213">
        <v>0</v>
      </c>
      <c r="J213" t="s">
        <v>66</v>
      </c>
      <c r="K213">
        <f>world_cup_matches9[[#This Row],[Home Goals]]+world_cup_matches9[[#This Row],[Away Goals]]</f>
        <v>2</v>
      </c>
      <c r="L213" t="s">
        <v>132</v>
      </c>
      <c r="M2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3" t="b">
        <v>0</v>
      </c>
    </row>
    <row r="214" spans="1:14" x14ac:dyDescent="0.3">
      <c r="A214">
        <v>221</v>
      </c>
      <c r="B214">
        <v>1970</v>
      </c>
      <c r="C214" s="2">
        <v>25730</v>
      </c>
      <c r="D214" s="3" cm="1">
        <f t="array" ref="D2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4" t="s">
        <v>38</v>
      </c>
      <c r="F214" t="str">
        <f>IF((world_cup_matches9[[#This Row],[StageOrder]]&gt;=7),"High Pressure","Low Pressure")</f>
        <v>Low Pressure</v>
      </c>
      <c r="G214" t="s">
        <v>46</v>
      </c>
      <c r="H214">
        <v>0</v>
      </c>
      <c r="I214">
        <v>0</v>
      </c>
      <c r="J214" t="s">
        <v>81</v>
      </c>
      <c r="K214">
        <f>world_cup_matches9[[#This Row],[Home Goals]]+world_cup_matches9[[#This Row],[Away Goals]]</f>
        <v>0</v>
      </c>
      <c r="L214" t="s">
        <v>132</v>
      </c>
      <c r="M2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4" t="b">
        <v>0</v>
      </c>
    </row>
    <row r="215" spans="1:14" x14ac:dyDescent="0.3">
      <c r="A215">
        <v>222</v>
      </c>
      <c r="B215">
        <v>1970</v>
      </c>
      <c r="C215" s="2">
        <v>25730</v>
      </c>
      <c r="D215" s="3" cm="1">
        <f t="array" ref="D2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5" t="s">
        <v>38</v>
      </c>
      <c r="F215" t="str">
        <f>IF((world_cup_matches9[[#This Row],[StageOrder]]&gt;=7),"High Pressure","Low Pressure")</f>
        <v>Low Pressure</v>
      </c>
      <c r="G215" t="s">
        <v>74</v>
      </c>
      <c r="H215">
        <v>1</v>
      </c>
      <c r="I215">
        <v>1</v>
      </c>
      <c r="J215" t="s">
        <v>21</v>
      </c>
      <c r="K215">
        <f>world_cup_matches9[[#This Row],[Home Goals]]+world_cup_matches9[[#This Row],[Away Goals]]</f>
        <v>2</v>
      </c>
      <c r="L215" t="s">
        <v>132</v>
      </c>
      <c r="M2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5" t="b">
        <v>0</v>
      </c>
    </row>
    <row r="216" spans="1:14" x14ac:dyDescent="0.3">
      <c r="A216">
        <v>223</v>
      </c>
      <c r="B216">
        <v>1970</v>
      </c>
      <c r="C216" s="2">
        <v>25730</v>
      </c>
      <c r="D216" s="3" cm="1">
        <f t="array" ref="D2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6" t="s">
        <v>38</v>
      </c>
      <c r="F216" t="str">
        <f>IF((world_cup_matches9[[#This Row],[StageOrder]]&gt;=7),"High Pressure","Low Pressure")</f>
        <v>Low Pressure</v>
      </c>
      <c r="G216" t="s">
        <v>3</v>
      </c>
      <c r="H216">
        <v>1</v>
      </c>
      <c r="I216">
        <v>0</v>
      </c>
      <c r="J216" t="s">
        <v>61</v>
      </c>
      <c r="K216">
        <f>world_cup_matches9[[#This Row],[Home Goals]]+world_cup_matches9[[#This Row],[Away Goals]]</f>
        <v>1</v>
      </c>
      <c r="L216" t="s">
        <v>132</v>
      </c>
      <c r="M2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6" t="b">
        <v>0</v>
      </c>
    </row>
    <row r="217" spans="1:14" x14ac:dyDescent="0.3">
      <c r="A217">
        <v>224</v>
      </c>
      <c r="B217">
        <v>1970</v>
      </c>
      <c r="C217" s="2">
        <v>25730</v>
      </c>
      <c r="D217" s="3" cm="1">
        <f t="array" ref="D2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7" t="s">
        <v>38</v>
      </c>
      <c r="F217" t="str">
        <f>IF((world_cup_matches9[[#This Row],[StageOrder]]&gt;=7),"High Pressure","Low Pressure")</f>
        <v>Low Pressure</v>
      </c>
      <c r="G217" t="s">
        <v>9</v>
      </c>
      <c r="H217">
        <v>1</v>
      </c>
      <c r="I217">
        <v>0</v>
      </c>
      <c r="J217" t="s">
        <v>19</v>
      </c>
      <c r="K217">
        <f>world_cup_matches9[[#This Row],[Home Goals]]+world_cup_matches9[[#This Row],[Away Goals]]</f>
        <v>1</v>
      </c>
      <c r="L217" t="s">
        <v>132</v>
      </c>
      <c r="M2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7" t="b">
        <v>1</v>
      </c>
    </row>
    <row r="218" spans="1:14" x14ac:dyDescent="0.3">
      <c r="A218">
        <v>361</v>
      </c>
      <c r="B218">
        <v>1986</v>
      </c>
      <c r="C218" s="2">
        <v>31563</v>
      </c>
      <c r="D218" s="3" cm="1">
        <f t="array" ref="D2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8" t="s">
        <v>38</v>
      </c>
      <c r="F218" t="str">
        <f>IF((world_cup_matches9[[#This Row],[StageOrder]]&gt;=7),"High Pressure","Low Pressure")</f>
        <v>Low Pressure</v>
      </c>
      <c r="G218" t="s">
        <v>74</v>
      </c>
      <c r="H218">
        <v>1</v>
      </c>
      <c r="I218">
        <v>1</v>
      </c>
      <c r="J218" t="s">
        <v>46</v>
      </c>
      <c r="K218">
        <f>world_cup_matches9[[#This Row],[Home Goals]]+world_cup_matches9[[#This Row],[Away Goals]]</f>
        <v>2</v>
      </c>
      <c r="L218" t="s">
        <v>132</v>
      </c>
      <c r="M2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8" t="b">
        <v>0</v>
      </c>
    </row>
    <row r="219" spans="1:14" x14ac:dyDescent="0.3">
      <c r="A219">
        <v>362</v>
      </c>
      <c r="B219">
        <v>1986</v>
      </c>
      <c r="C219" s="2">
        <v>31564</v>
      </c>
      <c r="D219" s="3" cm="1">
        <f t="array" ref="D2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19" t="s">
        <v>38</v>
      </c>
      <c r="F219" t="str">
        <f>IF((world_cup_matches9[[#This Row],[StageOrder]]&gt;=7),"High Pressure","Low Pressure")</f>
        <v>Low Pressure</v>
      </c>
      <c r="G219" t="s">
        <v>15</v>
      </c>
      <c r="H219">
        <v>0</v>
      </c>
      <c r="I219">
        <v>1</v>
      </c>
      <c r="J219" t="s">
        <v>23</v>
      </c>
      <c r="K219">
        <f>world_cup_matches9[[#This Row],[Home Goals]]+world_cup_matches9[[#This Row],[Away Goals]]</f>
        <v>1</v>
      </c>
      <c r="L219" t="s">
        <v>132</v>
      </c>
      <c r="M2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19" t="b">
        <v>0</v>
      </c>
    </row>
    <row r="220" spans="1:14" x14ac:dyDescent="0.3">
      <c r="A220">
        <v>363</v>
      </c>
      <c r="B220">
        <v>1986</v>
      </c>
      <c r="C220" s="2">
        <v>31564</v>
      </c>
      <c r="D220" s="3" cm="1">
        <f t="array" ref="D2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0" t="s">
        <v>38</v>
      </c>
      <c r="F220" t="str">
        <f>IF((world_cup_matches9[[#This Row],[StageOrder]]&gt;=7),"High Pressure","Low Pressure")</f>
        <v>Low Pressure</v>
      </c>
      <c r="G220" t="s">
        <v>20</v>
      </c>
      <c r="H220">
        <v>0</v>
      </c>
      <c r="I220">
        <v>1</v>
      </c>
      <c r="J220" t="s">
        <v>11</v>
      </c>
      <c r="K220">
        <f>world_cup_matches9[[#This Row],[Home Goals]]+world_cup_matches9[[#This Row],[Away Goals]]</f>
        <v>1</v>
      </c>
      <c r="L220" t="s">
        <v>132</v>
      </c>
      <c r="M2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0" t="b">
        <v>0</v>
      </c>
    </row>
    <row r="221" spans="1:14" x14ac:dyDescent="0.3">
      <c r="A221">
        <v>364</v>
      </c>
      <c r="B221">
        <v>1986</v>
      </c>
      <c r="C221" s="2">
        <v>31565</v>
      </c>
      <c r="D221" s="3" cm="1">
        <f t="array" ref="D2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1" t="s">
        <v>38</v>
      </c>
      <c r="F221" t="str">
        <f>IF((world_cup_matches9[[#This Row],[StageOrder]]&gt;=7),"High Pressure","Low Pressure")</f>
        <v>Low Pressure</v>
      </c>
      <c r="G221" t="s">
        <v>54</v>
      </c>
      <c r="H221">
        <v>6</v>
      </c>
      <c r="I221">
        <v>0</v>
      </c>
      <c r="J221" t="s">
        <v>52</v>
      </c>
      <c r="K221">
        <f>world_cup_matches9[[#This Row],[Home Goals]]+world_cup_matches9[[#This Row],[Away Goals]]</f>
        <v>6</v>
      </c>
      <c r="L221" t="s">
        <v>132</v>
      </c>
      <c r="M2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1" t="b">
        <v>0</v>
      </c>
    </row>
    <row r="222" spans="1:14" x14ac:dyDescent="0.3">
      <c r="A222">
        <v>365</v>
      </c>
      <c r="B222">
        <v>1986</v>
      </c>
      <c r="C222" s="2">
        <v>31565</v>
      </c>
      <c r="D222" s="3" cm="1">
        <f t="array" ref="D2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2" t="s">
        <v>38</v>
      </c>
      <c r="F222" t="str">
        <f>IF((world_cup_matches9[[#This Row],[StageOrder]]&gt;=7),"High Pressure","Low Pressure")</f>
        <v>Low Pressure</v>
      </c>
      <c r="G222" t="s">
        <v>7</v>
      </c>
      <c r="H222">
        <v>3</v>
      </c>
      <c r="I222">
        <v>1</v>
      </c>
      <c r="J222" t="s">
        <v>30</v>
      </c>
      <c r="K222">
        <f>world_cup_matches9[[#This Row],[Home Goals]]+world_cup_matches9[[#This Row],[Away Goals]]</f>
        <v>4</v>
      </c>
      <c r="L222" t="s">
        <v>132</v>
      </c>
      <c r="M2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2" t="b">
        <v>0</v>
      </c>
    </row>
    <row r="223" spans="1:14" x14ac:dyDescent="0.3">
      <c r="A223">
        <v>366</v>
      </c>
      <c r="B223">
        <v>1986</v>
      </c>
      <c r="C223" s="2">
        <v>31565</v>
      </c>
      <c r="D223" s="3" cm="1">
        <f t="array" ref="D2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3" t="s">
        <v>38</v>
      </c>
      <c r="F223" t="str">
        <f>IF((world_cup_matches9[[#This Row],[StageOrder]]&gt;=7),"High Pressure","Low Pressure")</f>
        <v>Low Pressure</v>
      </c>
      <c r="G223" t="s">
        <v>21</v>
      </c>
      <c r="H223">
        <v>0</v>
      </c>
      <c r="I223">
        <v>0</v>
      </c>
      <c r="J223" t="s">
        <v>10</v>
      </c>
      <c r="K223">
        <f>world_cup_matches9[[#This Row],[Home Goals]]+world_cup_matches9[[#This Row],[Away Goals]]</f>
        <v>0</v>
      </c>
      <c r="L223" t="s">
        <v>132</v>
      </c>
      <c r="M2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3" t="b">
        <v>0</v>
      </c>
    </row>
    <row r="224" spans="1:14" x14ac:dyDescent="0.3">
      <c r="A224">
        <v>367</v>
      </c>
      <c r="B224">
        <v>1986</v>
      </c>
      <c r="C224" s="2">
        <v>31566</v>
      </c>
      <c r="D224" s="3" cm="1">
        <f t="array" ref="D2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4" t="s">
        <v>38</v>
      </c>
      <c r="F224" t="str">
        <f>IF((world_cup_matches9[[#This Row],[StageOrder]]&gt;=7),"High Pressure","Low Pressure")</f>
        <v>Low Pressure</v>
      </c>
      <c r="G224" t="s">
        <v>88</v>
      </c>
      <c r="H224">
        <v>1</v>
      </c>
      <c r="I224">
        <v>1</v>
      </c>
      <c r="J224" t="s">
        <v>60</v>
      </c>
      <c r="K224">
        <f>world_cup_matches9[[#This Row],[Home Goals]]+world_cup_matches9[[#This Row],[Away Goals]]</f>
        <v>2</v>
      </c>
      <c r="L224" t="s">
        <v>132</v>
      </c>
      <c r="M2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4" t="b">
        <v>0</v>
      </c>
    </row>
    <row r="225" spans="1:14" x14ac:dyDescent="0.3">
      <c r="A225">
        <v>368</v>
      </c>
      <c r="B225">
        <v>1986</v>
      </c>
      <c r="C225" s="2">
        <v>31566</v>
      </c>
      <c r="D225" s="3" cm="1">
        <f t="array" ref="D2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5" t="s">
        <v>38</v>
      </c>
      <c r="F225" t="str">
        <f>IF((world_cup_matches9[[#This Row],[StageOrder]]&gt;=7),"High Pressure","Low Pressure")</f>
        <v>Low Pressure</v>
      </c>
      <c r="G225" t="s">
        <v>9</v>
      </c>
      <c r="H225">
        <v>2</v>
      </c>
      <c r="I225">
        <v>1</v>
      </c>
      <c r="J225" t="s">
        <v>19</v>
      </c>
      <c r="K225">
        <f>world_cup_matches9[[#This Row],[Home Goals]]+world_cup_matches9[[#This Row],[Away Goals]]</f>
        <v>3</v>
      </c>
      <c r="L225" t="s">
        <v>132</v>
      </c>
      <c r="M2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5" t="b">
        <v>1</v>
      </c>
    </row>
    <row r="226" spans="1:14" x14ac:dyDescent="0.3">
      <c r="A226">
        <v>369</v>
      </c>
      <c r="B226">
        <v>1986</v>
      </c>
      <c r="C226" s="2">
        <v>31566</v>
      </c>
      <c r="D226" s="3" cm="1">
        <f t="array" ref="D2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6" t="s">
        <v>38</v>
      </c>
      <c r="F226" t="str">
        <f>IF((world_cup_matches9[[#This Row],[StageOrder]]&gt;=7),"High Pressure","Low Pressure")</f>
        <v>Low Pressure</v>
      </c>
      <c r="G226" t="s">
        <v>27</v>
      </c>
      <c r="H226">
        <v>1</v>
      </c>
      <c r="I226">
        <v>0</v>
      </c>
      <c r="J226" t="s">
        <v>3</v>
      </c>
      <c r="K226">
        <f>world_cup_matches9[[#This Row],[Home Goals]]+world_cup_matches9[[#This Row],[Away Goals]]</f>
        <v>1</v>
      </c>
      <c r="L226" t="s">
        <v>132</v>
      </c>
      <c r="M2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6" t="b">
        <v>0</v>
      </c>
    </row>
    <row r="227" spans="1:14" x14ac:dyDescent="0.3">
      <c r="A227">
        <v>370</v>
      </c>
      <c r="B227">
        <v>1986</v>
      </c>
      <c r="C227" s="2">
        <v>31567</v>
      </c>
      <c r="D227" s="3" cm="1">
        <f t="array" ref="D2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7" t="s">
        <v>38</v>
      </c>
      <c r="F227" t="str">
        <f>IF((world_cup_matches9[[#This Row],[StageOrder]]&gt;=7),"High Pressure","Low Pressure")</f>
        <v>Low Pressure</v>
      </c>
      <c r="G227" t="s">
        <v>65</v>
      </c>
      <c r="H227">
        <v>1</v>
      </c>
      <c r="I227">
        <v>0</v>
      </c>
      <c r="J227" t="s">
        <v>85</v>
      </c>
      <c r="K227">
        <f>world_cup_matches9[[#This Row],[Home Goals]]+world_cup_matches9[[#This Row],[Away Goals]]</f>
        <v>1</v>
      </c>
      <c r="L227" t="s">
        <v>132</v>
      </c>
      <c r="M2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7" t="b">
        <v>0</v>
      </c>
    </row>
    <row r="228" spans="1:14" x14ac:dyDescent="0.3">
      <c r="A228">
        <v>371</v>
      </c>
      <c r="B228">
        <v>1986</v>
      </c>
      <c r="C228" s="2">
        <v>31567</v>
      </c>
      <c r="D228" s="3" cm="1">
        <f t="array" ref="D2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8" t="s">
        <v>38</v>
      </c>
      <c r="F228" t="str">
        <f>IF((world_cup_matches9[[#This Row],[StageOrder]]&gt;=7),"High Pressure","Low Pressure")</f>
        <v>Low Pressure</v>
      </c>
      <c r="G228" t="s">
        <v>29</v>
      </c>
      <c r="H228">
        <v>1</v>
      </c>
      <c r="I228">
        <v>1</v>
      </c>
      <c r="J228" t="s">
        <v>17</v>
      </c>
      <c r="K228">
        <f>world_cup_matches9[[#This Row],[Home Goals]]+world_cup_matches9[[#This Row],[Away Goals]]</f>
        <v>2</v>
      </c>
      <c r="L228" t="s">
        <v>132</v>
      </c>
      <c r="M2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8" t="b">
        <v>0</v>
      </c>
    </row>
    <row r="229" spans="1:14" x14ac:dyDescent="0.3">
      <c r="A229">
        <v>372</v>
      </c>
      <c r="B229">
        <v>1986</v>
      </c>
      <c r="C229" s="2">
        <v>31567</v>
      </c>
      <c r="D229" s="3" cm="1">
        <f t="array" ref="D2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29" t="s">
        <v>38</v>
      </c>
      <c r="F229" t="str">
        <f>IF((world_cup_matches9[[#This Row],[StageOrder]]&gt;=7),"High Pressure","Low Pressure")</f>
        <v>Low Pressure</v>
      </c>
      <c r="G229" t="s">
        <v>49</v>
      </c>
      <c r="H229">
        <v>0</v>
      </c>
      <c r="I229">
        <v>1</v>
      </c>
      <c r="J229" t="s">
        <v>13</v>
      </c>
      <c r="K229">
        <f>world_cup_matches9[[#This Row],[Home Goals]]+world_cup_matches9[[#This Row],[Away Goals]]</f>
        <v>1</v>
      </c>
      <c r="L229" t="s">
        <v>132</v>
      </c>
      <c r="M2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29" t="b">
        <v>0</v>
      </c>
    </row>
    <row r="230" spans="1:14" x14ac:dyDescent="0.3">
      <c r="A230">
        <v>373</v>
      </c>
      <c r="B230">
        <v>1986</v>
      </c>
      <c r="C230" s="2">
        <v>31568</v>
      </c>
      <c r="D230" s="3" cm="1">
        <f t="array" ref="D2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0" t="s">
        <v>38</v>
      </c>
      <c r="F230" t="str">
        <f>IF((world_cup_matches9[[#This Row],[StageOrder]]&gt;=7),"High Pressure","Low Pressure")</f>
        <v>Low Pressure</v>
      </c>
      <c r="G230" t="s">
        <v>46</v>
      </c>
      <c r="H230">
        <v>1</v>
      </c>
      <c r="I230">
        <v>1</v>
      </c>
      <c r="J230" t="s">
        <v>7</v>
      </c>
      <c r="K230">
        <f>world_cup_matches9[[#This Row],[Home Goals]]+world_cup_matches9[[#This Row],[Away Goals]]</f>
        <v>2</v>
      </c>
      <c r="L230" t="s">
        <v>132</v>
      </c>
      <c r="M2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0" t="b">
        <v>0</v>
      </c>
    </row>
    <row r="231" spans="1:14" x14ac:dyDescent="0.3">
      <c r="A231">
        <v>374</v>
      </c>
      <c r="B231">
        <v>1986</v>
      </c>
      <c r="C231" s="2">
        <v>31568</v>
      </c>
      <c r="D231" s="3" cm="1">
        <f t="array" ref="D2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1" t="s">
        <v>38</v>
      </c>
      <c r="F231" t="str">
        <f>IF((world_cup_matches9[[#This Row],[StageOrder]]&gt;=7),"High Pressure","Low Pressure")</f>
        <v>Low Pressure</v>
      </c>
      <c r="G231" t="s">
        <v>11</v>
      </c>
      <c r="H231">
        <v>1</v>
      </c>
      <c r="I231">
        <v>1</v>
      </c>
      <c r="J231" t="s">
        <v>54</v>
      </c>
      <c r="K231">
        <f>world_cup_matches9[[#This Row],[Home Goals]]+world_cup_matches9[[#This Row],[Away Goals]]</f>
        <v>2</v>
      </c>
      <c r="L231" t="s">
        <v>132</v>
      </c>
      <c r="M2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1" t="b">
        <v>0</v>
      </c>
    </row>
    <row r="232" spans="1:14" x14ac:dyDescent="0.3">
      <c r="A232">
        <v>375</v>
      </c>
      <c r="B232">
        <v>1986</v>
      </c>
      <c r="C232" s="2">
        <v>31568</v>
      </c>
      <c r="D232" s="3" cm="1">
        <f t="array" ref="D2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2" t="s">
        <v>38</v>
      </c>
      <c r="F232" t="str">
        <f>IF((world_cup_matches9[[#This Row],[StageOrder]]&gt;=7),"High Pressure","Low Pressure")</f>
        <v>Low Pressure</v>
      </c>
      <c r="G232" t="s">
        <v>30</v>
      </c>
      <c r="H232">
        <v>1</v>
      </c>
      <c r="I232">
        <v>1</v>
      </c>
      <c r="J232" t="s">
        <v>74</v>
      </c>
      <c r="K232">
        <f>world_cup_matches9[[#This Row],[Home Goals]]+world_cup_matches9[[#This Row],[Away Goals]]</f>
        <v>2</v>
      </c>
      <c r="L232" t="s">
        <v>132</v>
      </c>
      <c r="M2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2" t="b">
        <v>0</v>
      </c>
    </row>
    <row r="233" spans="1:14" x14ac:dyDescent="0.3">
      <c r="A233">
        <v>376</v>
      </c>
      <c r="B233">
        <v>1986</v>
      </c>
      <c r="C233" s="2">
        <v>31569</v>
      </c>
      <c r="D233" s="3" cm="1">
        <f t="array" ref="D2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3" t="s">
        <v>38</v>
      </c>
      <c r="F233" t="str">
        <f>IF((world_cup_matches9[[#This Row],[StageOrder]]&gt;=7),"High Pressure","Low Pressure")</f>
        <v>Low Pressure</v>
      </c>
      <c r="G233" t="s">
        <v>52</v>
      </c>
      <c r="H233">
        <v>2</v>
      </c>
      <c r="I233">
        <v>0</v>
      </c>
      <c r="J233" t="s">
        <v>20</v>
      </c>
      <c r="K233">
        <f>world_cup_matches9[[#This Row],[Home Goals]]+world_cup_matches9[[#This Row],[Away Goals]]</f>
        <v>2</v>
      </c>
      <c r="L233" t="s">
        <v>132</v>
      </c>
      <c r="M2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3" t="b">
        <v>0</v>
      </c>
    </row>
    <row r="234" spans="1:14" x14ac:dyDescent="0.3">
      <c r="A234">
        <v>377</v>
      </c>
      <c r="B234">
        <v>1986</v>
      </c>
      <c r="C234" s="2">
        <v>31569</v>
      </c>
      <c r="D234" s="3" cm="1">
        <f t="array" ref="D2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4" t="s">
        <v>38</v>
      </c>
      <c r="F234" t="str">
        <f>IF((world_cup_matches9[[#This Row],[StageOrder]]&gt;=7),"High Pressure","Low Pressure")</f>
        <v>Low Pressure</v>
      </c>
      <c r="G234" t="s">
        <v>23</v>
      </c>
      <c r="H234">
        <v>1</v>
      </c>
      <c r="I234">
        <v>0</v>
      </c>
      <c r="J234" t="s">
        <v>88</v>
      </c>
      <c r="K234">
        <f>world_cup_matches9[[#This Row],[Home Goals]]+world_cup_matches9[[#This Row],[Away Goals]]</f>
        <v>1</v>
      </c>
      <c r="L234" t="s">
        <v>132</v>
      </c>
      <c r="M2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4" t="b">
        <v>0</v>
      </c>
    </row>
    <row r="235" spans="1:14" x14ac:dyDescent="0.3">
      <c r="A235">
        <v>378</v>
      </c>
      <c r="B235">
        <v>1986</v>
      </c>
      <c r="C235" s="2">
        <v>31569</v>
      </c>
      <c r="D235" s="3" cm="1">
        <f t="array" ref="D2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5" t="s">
        <v>38</v>
      </c>
      <c r="F235" t="str">
        <f>IF((world_cup_matches9[[#This Row],[StageOrder]]&gt;=7),"High Pressure","Low Pressure")</f>
        <v>Low Pressure</v>
      </c>
      <c r="G235" t="s">
        <v>3</v>
      </c>
      <c r="H235">
        <v>0</v>
      </c>
      <c r="I235">
        <v>0</v>
      </c>
      <c r="J235" t="s">
        <v>21</v>
      </c>
      <c r="K235">
        <f>world_cup_matches9[[#This Row],[Home Goals]]+world_cup_matches9[[#This Row],[Away Goals]]</f>
        <v>0</v>
      </c>
      <c r="L235" t="s">
        <v>132</v>
      </c>
      <c r="M2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5" t="b">
        <v>0</v>
      </c>
    </row>
    <row r="236" spans="1:14" x14ac:dyDescent="0.3">
      <c r="A236">
        <v>379</v>
      </c>
      <c r="B236">
        <v>1986</v>
      </c>
      <c r="C236" s="2">
        <v>31570</v>
      </c>
      <c r="D236" s="3" cm="1">
        <f t="array" ref="D2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6" t="s">
        <v>38</v>
      </c>
      <c r="F236" t="str">
        <f>IF((world_cup_matches9[[#This Row],[StageOrder]]&gt;=7),"High Pressure","Low Pressure")</f>
        <v>Low Pressure</v>
      </c>
      <c r="G236" t="s">
        <v>60</v>
      </c>
      <c r="H236">
        <v>1</v>
      </c>
      <c r="I236">
        <v>2</v>
      </c>
      <c r="J236" t="s">
        <v>15</v>
      </c>
      <c r="K236">
        <f>world_cup_matches9[[#This Row],[Home Goals]]+world_cup_matches9[[#This Row],[Away Goals]]</f>
        <v>3</v>
      </c>
      <c r="L236" t="s">
        <v>132</v>
      </c>
      <c r="M2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6" t="b">
        <v>0</v>
      </c>
    </row>
    <row r="237" spans="1:14" x14ac:dyDescent="0.3">
      <c r="A237">
        <v>380</v>
      </c>
      <c r="B237">
        <v>1986</v>
      </c>
      <c r="C237" s="2">
        <v>31570</v>
      </c>
      <c r="D237" s="3" cm="1">
        <f t="array" ref="D2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7" t="s">
        <v>38</v>
      </c>
      <c r="F237" t="str">
        <f>IF((world_cup_matches9[[#This Row],[StageOrder]]&gt;=7),"High Pressure","Low Pressure")</f>
        <v>Low Pressure</v>
      </c>
      <c r="G237" t="s">
        <v>9</v>
      </c>
      <c r="H237">
        <v>1</v>
      </c>
      <c r="I237">
        <v>1</v>
      </c>
      <c r="J237" t="s">
        <v>65</v>
      </c>
      <c r="K237">
        <f>world_cup_matches9[[#This Row],[Home Goals]]+world_cup_matches9[[#This Row],[Away Goals]]</f>
        <v>2</v>
      </c>
      <c r="L237" t="s">
        <v>132</v>
      </c>
      <c r="M2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7" t="b">
        <v>1</v>
      </c>
    </row>
    <row r="238" spans="1:14" x14ac:dyDescent="0.3">
      <c r="A238">
        <v>381</v>
      </c>
      <c r="B238">
        <v>1986</v>
      </c>
      <c r="C238" s="2">
        <v>31570</v>
      </c>
      <c r="D238" s="3" cm="1">
        <f t="array" ref="D2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8" t="s">
        <v>38</v>
      </c>
      <c r="F238" t="str">
        <f>IF((world_cup_matches9[[#This Row],[StageOrder]]&gt;=7),"High Pressure","Low Pressure")</f>
        <v>Low Pressure</v>
      </c>
      <c r="G238" t="s">
        <v>10</v>
      </c>
      <c r="H238">
        <v>1</v>
      </c>
      <c r="I238">
        <v>0</v>
      </c>
      <c r="J238" t="s">
        <v>27</v>
      </c>
      <c r="K238">
        <f>world_cup_matches9[[#This Row],[Home Goals]]+world_cup_matches9[[#This Row],[Away Goals]]</f>
        <v>1</v>
      </c>
      <c r="L238" t="s">
        <v>132</v>
      </c>
      <c r="M2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8" t="b">
        <v>0</v>
      </c>
    </row>
    <row r="239" spans="1:14" x14ac:dyDescent="0.3">
      <c r="A239">
        <v>382</v>
      </c>
      <c r="B239">
        <v>1986</v>
      </c>
      <c r="C239" s="2">
        <v>31571</v>
      </c>
      <c r="D239" s="3" cm="1">
        <f t="array" ref="D2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39" t="s">
        <v>38</v>
      </c>
      <c r="F239" t="str">
        <f>IF((world_cup_matches9[[#This Row],[StageOrder]]&gt;=7),"High Pressure","Low Pressure")</f>
        <v>Low Pressure</v>
      </c>
      <c r="G239" t="s">
        <v>85</v>
      </c>
      <c r="H239">
        <v>1</v>
      </c>
      <c r="I239">
        <v>2</v>
      </c>
      <c r="J239" t="s">
        <v>19</v>
      </c>
      <c r="K239">
        <f>world_cup_matches9[[#This Row],[Home Goals]]+world_cup_matches9[[#This Row],[Away Goals]]</f>
        <v>3</v>
      </c>
      <c r="L239" t="s">
        <v>132</v>
      </c>
      <c r="M2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39" t="b">
        <v>0</v>
      </c>
    </row>
    <row r="240" spans="1:14" x14ac:dyDescent="0.3">
      <c r="A240">
        <v>383</v>
      </c>
      <c r="B240">
        <v>1986</v>
      </c>
      <c r="C240" s="2">
        <v>31571</v>
      </c>
      <c r="D240" s="3" cm="1">
        <f t="array" ref="D2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0" t="s">
        <v>38</v>
      </c>
      <c r="F240" t="str">
        <f>IF((world_cup_matches9[[#This Row],[StageOrder]]&gt;=7),"High Pressure","Low Pressure")</f>
        <v>Low Pressure</v>
      </c>
      <c r="G240" t="s">
        <v>17</v>
      </c>
      <c r="H240">
        <v>2</v>
      </c>
      <c r="I240">
        <v>1</v>
      </c>
      <c r="J240" t="s">
        <v>49</v>
      </c>
      <c r="K240">
        <f>world_cup_matches9[[#This Row],[Home Goals]]+world_cup_matches9[[#This Row],[Away Goals]]</f>
        <v>3</v>
      </c>
      <c r="L240" t="s">
        <v>132</v>
      </c>
      <c r="M2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0" t="b">
        <v>0</v>
      </c>
    </row>
    <row r="241" spans="1:14" x14ac:dyDescent="0.3">
      <c r="A241">
        <v>384</v>
      </c>
      <c r="B241">
        <v>1986</v>
      </c>
      <c r="C241" s="2">
        <v>31571</v>
      </c>
      <c r="D241" s="3" cm="1">
        <f t="array" ref="D2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1" t="s">
        <v>38</v>
      </c>
      <c r="F241" t="str">
        <f>IF((world_cup_matches9[[#This Row],[StageOrder]]&gt;=7),"High Pressure","Low Pressure")</f>
        <v>Low Pressure</v>
      </c>
      <c r="G241" t="s">
        <v>13</v>
      </c>
      <c r="H241">
        <v>6</v>
      </c>
      <c r="I241">
        <v>1</v>
      </c>
      <c r="J241" t="s">
        <v>29</v>
      </c>
      <c r="K241">
        <f>world_cup_matches9[[#This Row],[Home Goals]]+world_cup_matches9[[#This Row],[Away Goals]]</f>
        <v>7</v>
      </c>
      <c r="L241" t="s">
        <v>132</v>
      </c>
      <c r="M2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1" t="b">
        <v>0</v>
      </c>
    </row>
    <row r="242" spans="1:14" x14ac:dyDescent="0.3">
      <c r="A242">
        <v>385</v>
      </c>
      <c r="B242">
        <v>1986</v>
      </c>
      <c r="C242" s="2">
        <v>31572</v>
      </c>
      <c r="D242" s="3" cm="1">
        <f t="array" ref="D2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2" t="s">
        <v>38</v>
      </c>
      <c r="F242" t="str">
        <f>IF((world_cup_matches9[[#This Row],[StageOrder]]&gt;=7),"High Pressure","Low Pressure")</f>
        <v>Low Pressure</v>
      </c>
      <c r="G242" t="s">
        <v>52</v>
      </c>
      <c r="H242">
        <v>0</v>
      </c>
      <c r="I242">
        <v>3</v>
      </c>
      <c r="J242" t="s">
        <v>11</v>
      </c>
      <c r="K242">
        <f>world_cup_matches9[[#This Row],[Home Goals]]+world_cup_matches9[[#This Row],[Away Goals]]</f>
        <v>3</v>
      </c>
      <c r="L242" t="s">
        <v>132</v>
      </c>
      <c r="M2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2" t="b">
        <v>0</v>
      </c>
    </row>
    <row r="243" spans="1:14" x14ac:dyDescent="0.3">
      <c r="A243">
        <v>386</v>
      </c>
      <c r="B243">
        <v>1986</v>
      </c>
      <c r="C243" s="2">
        <v>31572</v>
      </c>
      <c r="D243" s="3" cm="1">
        <f t="array" ref="D2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3" t="s">
        <v>38</v>
      </c>
      <c r="F243" t="str">
        <f>IF((world_cup_matches9[[#This Row],[StageOrder]]&gt;=7),"High Pressure","Low Pressure")</f>
        <v>Low Pressure</v>
      </c>
      <c r="G243" t="s">
        <v>54</v>
      </c>
      <c r="H243">
        <v>2</v>
      </c>
      <c r="I243">
        <v>0</v>
      </c>
      <c r="J243" t="s">
        <v>20</v>
      </c>
      <c r="K243">
        <f>world_cup_matches9[[#This Row],[Home Goals]]+world_cup_matches9[[#This Row],[Away Goals]]</f>
        <v>2</v>
      </c>
      <c r="L243" t="s">
        <v>132</v>
      </c>
      <c r="M2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3" t="b">
        <v>0</v>
      </c>
    </row>
    <row r="244" spans="1:14" x14ac:dyDescent="0.3">
      <c r="A244">
        <v>387</v>
      </c>
      <c r="B244">
        <v>1986</v>
      </c>
      <c r="C244" s="2">
        <v>31573</v>
      </c>
      <c r="D244" s="3" cm="1">
        <f t="array" ref="D2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4" t="s">
        <v>38</v>
      </c>
      <c r="F244" t="str">
        <f>IF((world_cup_matches9[[#This Row],[StageOrder]]&gt;=7),"High Pressure","Low Pressure")</f>
        <v>Low Pressure</v>
      </c>
      <c r="G244" t="s">
        <v>30</v>
      </c>
      <c r="H244">
        <v>2</v>
      </c>
      <c r="I244">
        <v>3</v>
      </c>
      <c r="J244" t="s">
        <v>46</v>
      </c>
      <c r="K244">
        <f>world_cup_matches9[[#This Row],[Home Goals]]+world_cup_matches9[[#This Row],[Away Goals]]</f>
        <v>5</v>
      </c>
      <c r="L244" t="s">
        <v>132</v>
      </c>
      <c r="M2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4" t="b">
        <v>0</v>
      </c>
    </row>
    <row r="245" spans="1:14" x14ac:dyDescent="0.3">
      <c r="A245">
        <v>388</v>
      </c>
      <c r="B245">
        <v>1986</v>
      </c>
      <c r="C245" s="2">
        <v>31573</v>
      </c>
      <c r="D245" s="3" cm="1">
        <f t="array" ref="D2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5" t="s">
        <v>38</v>
      </c>
      <c r="F245" t="str">
        <f>IF((world_cup_matches9[[#This Row],[StageOrder]]&gt;=7),"High Pressure","Low Pressure")</f>
        <v>Low Pressure</v>
      </c>
      <c r="G245" t="s">
        <v>7</v>
      </c>
      <c r="H245">
        <v>2</v>
      </c>
      <c r="I245">
        <v>0</v>
      </c>
      <c r="J245" t="s">
        <v>74</v>
      </c>
      <c r="K245">
        <f>world_cup_matches9[[#This Row],[Home Goals]]+world_cup_matches9[[#This Row],[Away Goals]]</f>
        <v>2</v>
      </c>
      <c r="L245" t="s">
        <v>132</v>
      </c>
      <c r="M2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5" t="b">
        <v>0</v>
      </c>
    </row>
    <row r="246" spans="1:14" x14ac:dyDescent="0.3">
      <c r="A246">
        <v>389</v>
      </c>
      <c r="B246">
        <v>1986</v>
      </c>
      <c r="C246" s="2">
        <v>31574</v>
      </c>
      <c r="D246" s="3" cm="1">
        <f t="array" ref="D2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6" t="s">
        <v>38</v>
      </c>
      <c r="F246" t="str">
        <f>IF((world_cup_matches9[[#This Row],[StageOrder]]&gt;=7),"High Pressure","Low Pressure")</f>
        <v>Low Pressure</v>
      </c>
      <c r="G246" t="s">
        <v>65</v>
      </c>
      <c r="H246">
        <v>2</v>
      </c>
      <c r="I246">
        <v>2</v>
      </c>
      <c r="J246" t="s">
        <v>19</v>
      </c>
      <c r="K246">
        <f>world_cup_matches9[[#This Row],[Home Goals]]+world_cup_matches9[[#This Row],[Away Goals]]</f>
        <v>4</v>
      </c>
      <c r="L246" t="s">
        <v>132</v>
      </c>
      <c r="M2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6" t="b">
        <v>0</v>
      </c>
    </row>
    <row r="247" spans="1:14" x14ac:dyDescent="0.3">
      <c r="A247">
        <v>390</v>
      </c>
      <c r="B247">
        <v>1986</v>
      </c>
      <c r="C247" s="2">
        <v>31574</v>
      </c>
      <c r="D247" s="3" cm="1">
        <f t="array" ref="D2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7" t="s">
        <v>38</v>
      </c>
      <c r="F247" t="str">
        <f>IF((world_cup_matches9[[#This Row],[StageOrder]]&gt;=7),"High Pressure","Low Pressure")</f>
        <v>Low Pressure</v>
      </c>
      <c r="G247" t="s">
        <v>9</v>
      </c>
      <c r="H247">
        <v>1</v>
      </c>
      <c r="I247">
        <v>0</v>
      </c>
      <c r="J247" t="s">
        <v>85</v>
      </c>
      <c r="K247">
        <f>world_cup_matches9[[#This Row],[Home Goals]]+world_cup_matches9[[#This Row],[Away Goals]]</f>
        <v>1</v>
      </c>
      <c r="L247" t="s">
        <v>132</v>
      </c>
      <c r="M2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7" t="b">
        <v>1</v>
      </c>
    </row>
    <row r="248" spans="1:14" x14ac:dyDescent="0.3">
      <c r="A248">
        <v>391</v>
      </c>
      <c r="B248">
        <v>1986</v>
      </c>
      <c r="C248" s="2">
        <v>31574</v>
      </c>
      <c r="D248" s="3" cm="1">
        <f t="array" ref="D2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8" t="s">
        <v>38</v>
      </c>
      <c r="F248" t="str">
        <f>IF((world_cup_matches9[[#This Row],[StageOrder]]&gt;=7),"High Pressure","Low Pressure")</f>
        <v>Low Pressure</v>
      </c>
      <c r="G248" t="s">
        <v>27</v>
      </c>
      <c r="H248">
        <v>1</v>
      </c>
      <c r="I248">
        <v>3</v>
      </c>
      <c r="J248" t="s">
        <v>21</v>
      </c>
      <c r="K248">
        <f>world_cup_matches9[[#This Row],[Home Goals]]+world_cup_matches9[[#This Row],[Away Goals]]</f>
        <v>4</v>
      </c>
      <c r="L248" t="s">
        <v>132</v>
      </c>
      <c r="M2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8" t="b">
        <v>0</v>
      </c>
    </row>
    <row r="249" spans="1:14" x14ac:dyDescent="0.3">
      <c r="A249">
        <v>392</v>
      </c>
      <c r="B249">
        <v>1986</v>
      </c>
      <c r="C249" s="2">
        <v>31574</v>
      </c>
      <c r="D249" s="3" cm="1">
        <f t="array" ref="D2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49" t="s">
        <v>38</v>
      </c>
      <c r="F249" t="str">
        <f>IF((world_cup_matches9[[#This Row],[StageOrder]]&gt;=7),"High Pressure","Low Pressure")</f>
        <v>Low Pressure</v>
      </c>
      <c r="G249" t="s">
        <v>3</v>
      </c>
      <c r="H249">
        <v>3</v>
      </c>
      <c r="I249">
        <v>0</v>
      </c>
      <c r="J249" t="s">
        <v>10</v>
      </c>
      <c r="K249">
        <f>world_cup_matches9[[#This Row],[Home Goals]]+world_cup_matches9[[#This Row],[Away Goals]]</f>
        <v>3</v>
      </c>
      <c r="L249" t="s">
        <v>132</v>
      </c>
      <c r="M2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49" t="b">
        <v>0</v>
      </c>
    </row>
    <row r="250" spans="1:14" x14ac:dyDescent="0.3">
      <c r="A250">
        <v>393</v>
      </c>
      <c r="B250">
        <v>1986</v>
      </c>
      <c r="C250" s="2">
        <v>31575</v>
      </c>
      <c r="D250" s="3" cm="1">
        <f t="array" ref="D2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0" t="s">
        <v>38</v>
      </c>
      <c r="F250" t="str">
        <f>IF((world_cup_matches9[[#This Row],[StageOrder]]&gt;=7),"High Pressure","Low Pressure")</f>
        <v>Low Pressure</v>
      </c>
      <c r="G250" t="s">
        <v>60</v>
      </c>
      <c r="H250">
        <v>0</v>
      </c>
      <c r="I250">
        <v>3</v>
      </c>
      <c r="J250" t="s">
        <v>23</v>
      </c>
      <c r="K250">
        <f>world_cup_matches9[[#This Row],[Home Goals]]+world_cup_matches9[[#This Row],[Away Goals]]</f>
        <v>3</v>
      </c>
      <c r="L250" t="s">
        <v>132</v>
      </c>
      <c r="M2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0" t="b">
        <v>0</v>
      </c>
    </row>
    <row r="251" spans="1:14" x14ac:dyDescent="0.3">
      <c r="A251">
        <v>394</v>
      </c>
      <c r="B251">
        <v>1986</v>
      </c>
      <c r="C251" s="2">
        <v>31575</v>
      </c>
      <c r="D251" s="3" cm="1">
        <f t="array" ref="D2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1" t="s">
        <v>38</v>
      </c>
      <c r="F251" t="str">
        <f>IF((world_cup_matches9[[#This Row],[StageOrder]]&gt;=7),"High Pressure","Low Pressure")</f>
        <v>Low Pressure</v>
      </c>
      <c r="G251" t="s">
        <v>88</v>
      </c>
      <c r="H251">
        <v>0</v>
      </c>
      <c r="I251">
        <v>3</v>
      </c>
      <c r="J251" t="s">
        <v>15</v>
      </c>
      <c r="K251">
        <f>world_cup_matches9[[#This Row],[Home Goals]]+world_cup_matches9[[#This Row],[Away Goals]]</f>
        <v>3</v>
      </c>
      <c r="L251" t="s">
        <v>132</v>
      </c>
      <c r="M2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1" t="b">
        <v>0</v>
      </c>
    </row>
    <row r="252" spans="1:14" x14ac:dyDescent="0.3">
      <c r="A252">
        <v>395</v>
      </c>
      <c r="B252">
        <v>1986</v>
      </c>
      <c r="C252" s="2">
        <v>31576</v>
      </c>
      <c r="D252" s="3" cm="1">
        <f t="array" ref="D2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2" t="s">
        <v>38</v>
      </c>
      <c r="F252" t="str">
        <f>IF((world_cup_matches9[[#This Row],[StageOrder]]&gt;=7),"High Pressure","Low Pressure")</f>
        <v>Low Pressure</v>
      </c>
      <c r="G252" t="s">
        <v>49</v>
      </c>
      <c r="H252">
        <v>0</v>
      </c>
      <c r="I252">
        <v>0</v>
      </c>
      <c r="J252" t="s">
        <v>29</v>
      </c>
      <c r="K252">
        <f>world_cup_matches9[[#This Row],[Home Goals]]+world_cup_matches9[[#This Row],[Away Goals]]</f>
        <v>0</v>
      </c>
      <c r="L252" t="s">
        <v>132</v>
      </c>
      <c r="M2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2" t="b">
        <v>0</v>
      </c>
    </row>
    <row r="253" spans="1:14" x14ac:dyDescent="0.3">
      <c r="A253">
        <v>396</v>
      </c>
      <c r="B253">
        <v>1986</v>
      </c>
      <c r="C253" s="2">
        <v>31576</v>
      </c>
      <c r="D253" s="3" cm="1">
        <f t="array" ref="D2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3" t="s">
        <v>38</v>
      </c>
      <c r="F253" t="str">
        <f>IF((world_cup_matches9[[#This Row],[StageOrder]]&gt;=7),"High Pressure","Low Pressure")</f>
        <v>Low Pressure</v>
      </c>
      <c r="G253" t="s">
        <v>13</v>
      </c>
      <c r="H253">
        <v>2</v>
      </c>
      <c r="I253">
        <v>0</v>
      </c>
      <c r="J253" t="s">
        <v>17</v>
      </c>
      <c r="K253">
        <f>world_cup_matches9[[#This Row],[Home Goals]]+world_cup_matches9[[#This Row],[Away Goals]]</f>
        <v>2</v>
      </c>
      <c r="L253" t="s">
        <v>132</v>
      </c>
      <c r="M2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3" t="b">
        <v>0</v>
      </c>
    </row>
    <row r="254" spans="1:14" x14ac:dyDescent="0.3">
      <c r="A254">
        <v>413</v>
      </c>
      <c r="B254">
        <v>1990</v>
      </c>
      <c r="C254" s="2">
        <v>33032</v>
      </c>
      <c r="D254" s="3" cm="1">
        <f t="array" ref="D2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4" t="s">
        <v>38</v>
      </c>
      <c r="F254" t="str">
        <f>IF((world_cup_matches9[[#This Row],[StageOrder]]&gt;=7),"High Pressure","Low Pressure")</f>
        <v>Low Pressure</v>
      </c>
      <c r="G254" t="s">
        <v>7</v>
      </c>
      <c r="H254">
        <v>0</v>
      </c>
      <c r="I254">
        <v>1</v>
      </c>
      <c r="J254" t="s">
        <v>26</v>
      </c>
      <c r="K254">
        <f>world_cup_matches9[[#This Row],[Home Goals]]+world_cup_matches9[[#This Row],[Away Goals]]</f>
        <v>1</v>
      </c>
      <c r="L254" t="s">
        <v>132</v>
      </c>
      <c r="M2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4" t="b">
        <v>0</v>
      </c>
    </row>
    <row r="255" spans="1:14" x14ac:dyDescent="0.3">
      <c r="A255">
        <v>414</v>
      </c>
      <c r="B255">
        <v>1990</v>
      </c>
      <c r="C255" s="2">
        <v>33033</v>
      </c>
      <c r="D255" s="3" cm="1">
        <f t="array" ref="D2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5" t="s">
        <v>38</v>
      </c>
      <c r="F255" t="str">
        <f>IF((world_cup_matches9[[#This Row],[StageOrder]]&gt;=7),"High Pressure","Low Pressure")</f>
        <v>Low Pressure</v>
      </c>
      <c r="G255" t="s">
        <v>54</v>
      </c>
      <c r="H255">
        <v>0</v>
      </c>
      <c r="I255">
        <v>2</v>
      </c>
      <c r="J255" t="s">
        <v>68</v>
      </c>
      <c r="K255">
        <f>world_cup_matches9[[#This Row],[Home Goals]]+world_cup_matches9[[#This Row],[Away Goals]]</f>
        <v>2</v>
      </c>
      <c r="L255" t="s">
        <v>132</v>
      </c>
      <c r="M2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5" t="b">
        <v>0</v>
      </c>
    </row>
    <row r="256" spans="1:14" x14ac:dyDescent="0.3">
      <c r="A256">
        <v>415</v>
      </c>
      <c r="B256">
        <v>1990</v>
      </c>
      <c r="C256" s="2">
        <v>33033</v>
      </c>
      <c r="D256" s="3" cm="1">
        <f t="array" ref="D2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6" t="s">
        <v>38</v>
      </c>
      <c r="F256" t="str">
        <f>IF((world_cup_matches9[[#This Row],[StageOrder]]&gt;=7),"High Pressure","Low Pressure")</f>
        <v>Low Pressure</v>
      </c>
      <c r="G256" t="s">
        <v>48</v>
      </c>
      <c r="H256">
        <v>0</v>
      </c>
      <c r="I256">
        <v>2</v>
      </c>
      <c r="J256" t="s">
        <v>53</v>
      </c>
      <c r="K256">
        <f>world_cup_matches9[[#This Row],[Home Goals]]+world_cup_matches9[[#This Row],[Away Goals]]</f>
        <v>2</v>
      </c>
      <c r="L256" t="s">
        <v>132</v>
      </c>
      <c r="M2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6" t="b">
        <v>0</v>
      </c>
    </row>
    <row r="257" spans="1:14" x14ac:dyDescent="0.3">
      <c r="A257">
        <v>416</v>
      </c>
      <c r="B257">
        <v>1990</v>
      </c>
      <c r="C257" s="2">
        <v>33033</v>
      </c>
      <c r="D257" s="3" cm="1">
        <f t="array" ref="D2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7" t="s">
        <v>38</v>
      </c>
      <c r="F257" t="str">
        <f>IF((world_cup_matches9[[#This Row],[StageOrder]]&gt;=7),"High Pressure","Low Pressure")</f>
        <v>Low Pressure</v>
      </c>
      <c r="G257" t="s">
        <v>46</v>
      </c>
      <c r="H257">
        <v>1</v>
      </c>
      <c r="I257">
        <v>0</v>
      </c>
      <c r="J257" t="s">
        <v>55</v>
      </c>
      <c r="K257">
        <f>world_cup_matches9[[#This Row],[Home Goals]]+world_cup_matches9[[#This Row],[Away Goals]]</f>
        <v>1</v>
      </c>
      <c r="L257" t="s">
        <v>132</v>
      </c>
      <c r="M2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7" t="b">
        <v>1</v>
      </c>
    </row>
    <row r="258" spans="1:14" x14ac:dyDescent="0.3">
      <c r="A258">
        <v>417</v>
      </c>
      <c r="B258">
        <v>1990</v>
      </c>
      <c r="C258" s="2">
        <v>33034</v>
      </c>
      <c r="D258" s="3" cm="1">
        <f t="array" ref="D2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8" t="s">
        <v>38</v>
      </c>
      <c r="F258" t="str">
        <f>IF((world_cup_matches9[[#This Row],[StageOrder]]&gt;=7),"High Pressure","Low Pressure")</f>
        <v>Low Pressure</v>
      </c>
      <c r="G258" t="s">
        <v>5</v>
      </c>
      <c r="H258">
        <v>1</v>
      </c>
      <c r="I258">
        <v>5</v>
      </c>
      <c r="J258" t="s">
        <v>61</v>
      </c>
      <c r="K258">
        <f>world_cup_matches9[[#This Row],[Home Goals]]+world_cup_matches9[[#This Row],[Away Goals]]</f>
        <v>6</v>
      </c>
      <c r="L258" t="s">
        <v>132</v>
      </c>
      <c r="M2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8" t="b">
        <v>0</v>
      </c>
    </row>
    <row r="259" spans="1:14" x14ac:dyDescent="0.3">
      <c r="A259">
        <v>418</v>
      </c>
      <c r="B259">
        <v>1990</v>
      </c>
      <c r="C259" s="2">
        <v>33034</v>
      </c>
      <c r="D259" s="3" cm="1">
        <f t="array" ref="D2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59" t="s">
        <v>38</v>
      </c>
      <c r="F259" t="str">
        <f>IF((world_cup_matches9[[#This Row],[StageOrder]]&gt;=7),"High Pressure","Low Pressure")</f>
        <v>Low Pressure</v>
      </c>
      <c r="G259" t="s">
        <v>23</v>
      </c>
      <c r="H259">
        <v>2</v>
      </c>
      <c r="I259">
        <v>1</v>
      </c>
      <c r="J259" t="s">
        <v>62</v>
      </c>
      <c r="K259">
        <f>world_cup_matches9[[#This Row],[Home Goals]]+world_cup_matches9[[#This Row],[Away Goals]]</f>
        <v>3</v>
      </c>
      <c r="L259" t="s">
        <v>132</v>
      </c>
      <c r="M2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59" t="b">
        <v>0</v>
      </c>
    </row>
    <row r="260" spans="1:14" x14ac:dyDescent="0.3">
      <c r="A260">
        <v>419</v>
      </c>
      <c r="B260">
        <v>1990</v>
      </c>
      <c r="C260" s="2">
        <v>33034</v>
      </c>
      <c r="D260" s="3" cm="1">
        <f t="array" ref="D2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0" t="s">
        <v>38</v>
      </c>
      <c r="F260" t="str">
        <f>IF((world_cup_matches9[[#This Row],[StageOrder]]&gt;=7),"High Pressure","Low Pressure")</f>
        <v>Low Pressure</v>
      </c>
      <c r="G260" t="s">
        <v>17</v>
      </c>
      <c r="H260">
        <v>4</v>
      </c>
      <c r="I260">
        <v>1</v>
      </c>
      <c r="J260" t="s">
        <v>69</v>
      </c>
      <c r="K260">
        <f>world_cup_matches9[[#This Row],[Home Goals]]+world_cup_matches9[[#This Row],[Away Goals]]</f>
        <v>5</v>
      </c>
      <c r="L260" t="s">
        <v>132</v>
      </c>
      <c r="M2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0" t="b">
        <v>0</v>
      </c>
    </row>
    <row r="261" spans="1:14" x14ac:dyDescent="0.3">
      <c r="A261">
        <v>420</v>
      </c>
      <c r="B261">
        <v>1990</v>
      </c>
      <c r="C261" s="2">
        <v>33035</v>
      </c>
      <c r="D261" s="3" cm="1">
        <f t="array" ref="D2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1" t="s">
        <v>38</v>
      </c>
      <c r="F261" t="str">
        <f>IF((world_cup_matches9[[#This Row],[StageOrder]]&gt;=7),"High Pressure","Low Pressure")</f>
        <v>Low Pressure</v>
      </c>
      <c r="G261" t="s">
        <v>16</v>
      </c>
      <c r="H261">
        <v>1</v>
      </c>
      <c r="I261">
        <v>0</v>
      </c>
      <c r="J261" t="s">
        <v>49</v>
      </c>
      <c r="K261">
        <f>world_cup_matches9[[#This Row],[Home Goals]]+world_cup_matches9[[#This Row],[Away Goals]]</f>
        <v>1</v>
      </c>
      <c r="L261" t="s">
        <v>132</v>
      </c>
      <c r="M2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1" t="b">
        <v>0</v>
      </c>
    </row>
    <row r="262" spans="1:14" x14ac:dyDescent="0.3">
      <c r="A262">
        <v>421</v>
      </c>
      <c r="B262">
        <v>1990</v>
      </c>
      <c r="C262" s="2">
        <v>33035</v>
      </c>
      <c r="D262" s="3" cm="1">
        <f t="array" ref="D2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2" t="s">
        <v>38</v>
      </c>
      <c r="F262" t="str">
        <f>IF((world_cup_matches9[[#This Row],[StageOrder]]&gt;=7),"High Pressure","Low Pressure")</f>
        <v>Low Pressure</v>
      </c>
      <c r="G262" t="s">
        <v>3</v>
      </c>
      <c r="H262">
        <v>1</v>
      </c>
      <c r="I262">
        <v>1</v>
      </c>
      <c r="J262" t="s">
        <v>73</v>
      </c>
      <c r="K262">
        <f>world_cup_matches9[[#This Row],[Home Goals]]+world_cup_matches9[[#This Row],[Away Goals]]</f>
        <v>2</v>
      </c>
      <c r="L262" t="s">
        <v>132</v>
      </c>
      <c r="M2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2" t="b">
        <v>0</v>
      </c>
    </row>
    <row r="263" spans="1:14" x14ac:dyDescent="0.3">
      <c r="A263">
        <v>422</v>
      </c>
      <c r="B263">
        <v>1990</v>
      </c>
      <c r="C263" s="2">
        <v>33036</v>
      </c>
      <c r="D263" s="3" cm="1">
        <f t="array" ref="D2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3" t="s">
        <v>38</v>
      </c>
      <c r="F263" t="str">
        <f>IF((world_cup_matches9[[#This Row],[StageOrder]]&gt;=7),"High Pressure","Low Pressure")</f>
        <v>Low Pressure</v>
      </c>
      <c r="G263" t="s">
        <v>19</v>
      </c>
      <c r="H263">
        <v>2</v>
      </c>
      <c r="I263">
        <v>0</v>
      </c>
      <c r="J263" t="s">
        <v>30</v>
      </c>
      <c r="K263">
        <f>world_cup_matches9[[#This Row],[Home Goals]]+world_cup_matches9[[#This Row],[Away Goals]]</f>
        <v>2</v>
      </c>
      <c r="L263" t="s">
        <v>132</v>
      </c>
      <c r="M2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3" t="b">
        <v>0</v>
      </c>
    </row>
    <row r="264" spans="1:14" x14ac:dyDescent="0.3">
      <c r="A264">
        <v>423</v>
      </c>
      <c r="B264">
        <v>1990</v>
      </c>
      <c r="C264" s="2">
        <v>33036</v>
      </c>
      <c r="D264" s="3" cm="1">
        <f t="array" ref="D2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4" t="s">
        <v>38</v>
      </c>
      <c r="F264" t="str">
        <f>IF((world_cup_matches9[[#This Row],[StageOrder]]&gt;=7),"High Pressure","Low Pressure")</f>
        <v>Low Pressure</v>
      </c>
      <c r="G264" t="s">
        <v>2</v>
      </c>
      <c r="H264">
        <v>1</v>
      </c>
      <c r="I264">
        <v>1</v>
      </c>
      <c r="J264" t="s">
        <v>51</v>
      </c>
      <c r="K264">
        <f>world_cup_matches9[[#This Row],[Home Goals]]+world_cup_matches9[[#This Row],[Away Goals]]</f>
        <v>2</v>
      </c>
      <c r="L264" t="s">
        <v>132</v>
      </c>
      <c r="M2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4" t="b">
        <v>0</v>
      </c>
    </row>
    <row r="265" spans="1:14" x14ac:dyDescent="0.3">
      <c r="A265">
        <v>424</v>
      </c>
      <c r="B265">
        <v>1990</v>
      </c>
      <c r="C265" s="2">
        <v>33037</v>
      </c>
      <c r="D265" s="3" cm="1">
        <f t="array" ref="D2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5" t="s">
        <v>38</v>
      </c>
      <c r="F265" t="str">
        <f>IF((world_cup_matches9[[#This Row],[StageOrder]]&gt;=7),"High Pressure","Low Pressure")</f>
        <v>Low Pressure</v>
      </c>
      <c r="G265" t="s">
        <v>29</v>
      </c>
      <c r="H265">
        <v>0</v>
      </c>
      <c r="I265">
        <v>0</v>
      </c>
      <c r="J265" t="s">
        <v>15</v>
      </c>
      <c r="K265">
        <f>world_cup_matches9[[#This Row],[Home Goals]]+world_cup_matches9[[#This Row],[Away Goals]]</f>
        <v>0</v>
      </c>
      <c r="L265" t="s">
        <v>132</v>
      </c>
      <c r="M2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5" t="b">
        <v>0</v>
      </c>
    </row>
    <row r="266" spans="1:14" x14ac:dyDescent="0.3">
      <c r="A266">
        <v>425</v>
      </c>
      <c r="B266">
        <v>1990</v>
      </c>
      <c r="C266" s="2">
        <v>33037</v>
      </c>
      <c r="D266" s="3" cm="1">
        <f t="array" ref="D2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6" t="s">
        <v>38</v>
      </c>
      <c r="F266" t="str">
        <f>IF((world_cup_matches9[[#This Row],[StageOrder]]&gt;=7),"High Pressure","Low Pressure")</f>
        <v>Low Pressure</v>
      </c>
      <c r="G266" t="s">
        <v>7</v>
      </c>
      <c r="H266">
        <v>2</v>
      </c>
      <c r="I266">
        <v>0</v>
      </c>
      <c r="J266" t="s">
        <v>54</v>
      </c>
      <c r="K266">
        <f>world_cup_matches9[[#This Row],[Home Goals]]+world_cup_matches9[[#This Row],[Away Goals]]</f>
        <v>2</v>
      </c>
      <c r="L266" t="s">
        <v>132</v>
      </c>
      <c r="M2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6" t="b">
        <v>0</v>
      </c>
    </row>
    <row r="267" spans="1:14" x14ac:dyDescent="0.3">
      <c r="A267">
        <v>426</v>
      </c>
      <c r="B267">
        <v>1990</v>
      </c>
      <c r="C267" s="2">
        <v>33038</v>
      </c>
      <c r="D267" s="3" cm="1">
        <f t="array" ref="D2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7" t="s">
        <v>38</v>
      </c>
      <c r="F267" t="str">
        <f>IF((world_cup_matches9[[#This Row],[StageOrder]]&gt;=7),"High Pressure","Low Pressure")</f>
        <v>Low Pressure</v>
      </c>
      <c r="G267" t="s">
        <v>26</v>
      </c>
      <c r="H267">
        <v>2</v>
      </c>
      <c r="I267">
        <v>1</v>
      </c>
      <c r="J267" t="s">
        <v>68</v>
      </c>
      <c r="K267">
        <f>world_cup_matches9[[#This Row],[Home Goals]]+world_cup_matches9[[#This Row],[Away Goals]]</f>
        <v>3</v>
      </c>
      <c r="L267" t="s">
        <v>132</v>
      </c>
      <c r="M2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7" t="b">
        <v>0</v>
      </c>
    </row>
    <row r="268" spans="1:14" x14ac:dyDescent="0.3">
      <c r="A268">
        <v>427</v>
      </c>
      <c r="B268">
        <v>1990</v>
      </c>
      <c r="C268" s="2">
        <v>33038</v>
      </c>
      <c r="D268" s="3" cm="1">
        <f t="array" ref="D2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8" t="s">
        <v>38</v>
      </c>
      <c r="F268" t="str">
        <f>IF((world_cup_matches9[[#This Row],[StageOrder]]&gt;=7),"High Pressure","Low Pressure")</f>
        <v>Low Pressure</v>
      </c>
      <c r="G268" t="s">
        <v>69</v>
      </c>
      <c r="H268">
        <v>1</v>
      </c>
      <c r="I268">
        <v>0</v>
      </c>
      <c r="J268" t="s">
        <v>53</v>
      </c>
      <c r="K268">
        <f>world_cup_matches9[[#This Row],[Home Goals]]+world_cup_matches9[[#This Row],[Away Goals]]</f>
        <v>1</v>
      </c>
      <c r="L268" t="s">
        <v>132</v>
      </c>
      <c r="M2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8" t="b">
        <v>0</v>
      </c>
    </row>
    <row r="269" spans="1:14" x14ac:dyDescent="0.3">
      <c r="A269">
        <v>428</v>
      </c>
      <c r="B269">
        <v>1990</v>
      </c>
      <c r="C269" s="2">
        <v>33038</v>
      </c>
      <c r="D269" s="3" cm="1">
        <f t="array" ref="D2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69" t="s">
        <v>38</v>
      </c>
      <c r="F269" t="str">
        <f>IF((world_cup_matches9[[#This Row],[StageOrder]]&gt;=7),"High Pressure","Low Pressure")</f>
        <v>Low Pressure</v>
      </c>
      <c r="G269" t="s">
        <v>46</v>
      </c>
      <c r="H269">
        <v>1</v>
      </c>
      <c r="I269">
        <v>0</v>
      </c>
      <c r="J269" t="s">
        <v>5</v>
      </c>
      <c r="K269">
        <f>world_cup_matches9[[#This Row],[Home Goals]]+world_cup_matches9[[#This Row],[Away Goals]]</f>
        <v>1</v>
      </c>
      <c r="L269" t="s">
        <v>132</v>
      </c>
      <c r="M2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69" t="b">
        <v>1</v>
      </c>
    </row>
    <row r="270" spans="1:14" x14ac:dyDescent="0.3">
      <c r="A270">
        <v>429</v>
      </c>
      <c r="B270">
        <v>1990</v>
      </c>
      <c r="C270" s="2">
        <v>33039</v>
      </c>
      <c r="D270" s="3" cm="1">
        <f t="array" ref="D2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0" t="s">
        <v>38</v>
      </c>
      <c r="F270" t="str">
        <f>IF((world_cup_matches9[[#This Row],[StageOrder]]&gt;=7),"High Pressure","Low Pressure")</f>
        <v>Low Pressure</v>
      </c>
      <c r="G270" t="s">
        <v>55</v>
      </c>
      <c r="H270">
        <v>0</v>
      </c>
      <c r="I270">
        <v>1</v>
      </c>
      <c r="J270" t="s">
        <v>61</v>
      </c>
      <c r="K270">
        <f>world_cup_matches9[[#This Row],[Home Goals]]+world_cup_matches9[[#This Row],[Away Goals]]</f>
        <v>1</v>
      </c>
      <c r="L270" t="s">
        <v>132</v>
      </c>
      <c r="M2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0" t="b">
        <v>0</v>
      </c>
    </row>
    <row r="271" spans="1:14" x14ac:dyDescent="0.3">
      <c r="A271">
        <v>430</v>
      </c>
      <c r="B271">
        <v>1990</v>
      </c>
      <c r="C271" s="2">
        <v>33039</v>
      </c>
      <c r="D271" s="3" cm="1">
        <f t="array" ref="D2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1" t="s">
        <v>38</v>
      </c>
      <c r="F271" t="str">
        <f>IF((world_cup_matches9[[#This Row],[StageOrder]]&gt;=7),"High Pressure","Low Pressure")</f>
        <v>Low Pressure</v>
      </c>
      <c r="G271" t="s">
        <v>17</v>
      </c>
      <c r="H271">
        <v>5</v>
      </c>
      <c r="I271">
        <v>1</v>
      </c>
      <c r="J271" t="s">
        <v>48</v>
      </c>
      <c r="K271">
        <f>world_cup_matches9[[#This Row],[Home Goals]]+world_cup_matches9[[#This Row],[Away Goals]]</f>
        <v>6</v>
      </c>
      <c r="L271" t="s">
        <v>132</v>
      </c>
      <c r="M2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1" t="b">
        <v>0</v>
      </c>
    </row>
    <row r="272" spans="1:14" x14ac:dyDescent="0.3">
      <c r="A272">
        <v>431</v>
      </c>
      <c r="B272">
        <v>1990</v>
      </c>
      <c r="C272" s="2">
        <v>33040</v>
      </c>
      <c r="D272" s="3" cm="1">
        <f t="array" ref="D2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2" t="s">
        <v>38</v>
      </c>
      <c r="F272" t="str">
        <f>IF((world_cup_matches9[[#This Row],[StageOrder]]&gt;=7),"High Pressure","Low Pressure")</f>
        <v>Low Pressure</v>
      </c>
      <c r="G272" t="s">
        <v>23</v>
      </c>
      <c r="H272">
        <v>1</v>
      </c>
      <c r="I272">
        <v>0</v>
      </c>
      <c r="J272" t="s">
        <v>16</v>
      </c>
      <c r="K272">
        <f>world_cup_matches9[[#This Row],[Home Goals]]+world_cup_matches9[[#This Row],[Away Goals]]</f>
        <v>1</v>
      </c>
      <c r="L272" t="s">
        <v>132</v>
      </c>
      <c r="M2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2" t="b">
        <v>0</v>
      </c>
    </row>
    <row r="273" spans="1:14" x14ac:dyDescent="0.3">
      <c r="A273">
        <v>432</v>
      </c>
      <c r="B273">
        <v>1990</v>
      </c>
      <c r="C273" s="2">
        <v>33040</v>
      </c>
      <c r="D273" s="3" cm="1">
        <f t="array" ref="D2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3" t="s">
        <v>38</v>
      </c>
      <c r="F273" t="str">
        <f>IF((world_cup_matches9[[#This Row],[StageOrder]]&gt;=7),"High Pressure","Low Pressure")</f>
        <v>Low Pressure</v>
      </c>
      <c r="G273" t="s">
        <v>62</v>
      </c>
      <c r="H273">
        <v>1</v>
      </c>
      <c r="I273">
        <v>2</v>
      </c>
      <c r="J273" t="s">
        <v>49</v>
      </c>
      <c r="K273">
        <f>world_cup_matches9[[#This Row],[Home Goals]]+world_cup_matches9[[#This Row],[Away Goals]]</f>
        <v>3</v>
      </c>
      <c r="L273" t="s">
        <v>132</v>
      </c>
      <c r="M2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3" t="b">
        <v>0</v>
      </c>
    </row>
    <row r="274" spans="1:14" x14ac:dyDescent="0.3">
      <c r="A274">
        <v>433</v>
      </c>
      <c r="B274">
        <v>1990</v>
      </c>
      <c r="C274" s="2">
        <v>33040</v>
      </c>
      <c r="D274" s="3" cm="1">
        <f t="array" ref="D2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4" t="s">
        <v>38</v>
      </c>
      <c r="F274" t="str">
        <f>IF((world_cup_matches9[[#This Row],[StageOrder]]&gt;=7),"High Pressure","Low Pressure")</f>
        <v>Low Pressure</v>
      </c>
      <c r="G274" t="s">
        <v>3</v>
      </c>
      <c r="H274">
        <v>0</v>
      </c>
      <c r="I274">
        <v>0</v>
      </c>
      <c r="J274" t="s">
        <v>2</v>
      </c>
      <c r="K274">
        <f>world_cup_matches9[[#This Row],[Home Goals]]+world_cup_matches9[[#This Row],[Away Goals]]</f>
        <v>0</v>
      </c>
      <c r="L274" t="s">
        <v>132</v>
      </c>
      <c r="M2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4" t="b">
        <v>0</v>
      </c>
    </row>
    <row r="275" spans="1:14" x14ac:dyDescent="0.3">
      <c r="A275">
        <v>434</v>
      </c>
      <c r="B275">
        <v>1990</v>
      </c>
      <c r="C275" s="2">
        <v>33041</v>
      </c>
      <c r="D275" s="3" cm="1">
        <f t="array" ref="D2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5" t="s">
        <v>38</v>
      </c>
      <c r="F275" t="str">
        <f>IF((world_cup_matches9[[#This Row],[StageOrder]]&gt;=7),"High Pressure","Low Pressure")</f>
        <v>Low Pressure</v>
      </c>
      <c r="G275" t="s">
        <v>73</v>
      </c>
      <c r="H275">
        <v>0</v>
      </c>
      <c r="I275">
        <v>0</v>
      </c>
      <c r="J275" t="s">
        <v>51</v>
      </c>
      <c r="K275">
        <f>world_cup_matches9[[#This Row],[Home Goals]]+world_cup_matches9[[#This Row],[Away Goals]]</f>
        <v>0</v>
      </c>
      <c r="L275" t="s">
        <v>132</v>
      </c>
      <c r="M2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5" t="b">
        <v>0</v>
      </c>
    </row>
    <row r="276" spans="1:14" x14ac:dyDescent="0.3">
      <c r="A276">
        <v>435</v>
      </c>
      <c r="B276">
        <v>1990</v>
      </c>
      <c r="C276" s="2">
        <v>33041</v>
      </c>
      <c r="D276" s="3" cm="1">
        <f t="array" ref="D2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6" t="s">
        <v>38</v>
      </c>
      <c r="F276" t="str">
        <f>IF((world_cup_matches9[[#This Row],[StageOrder]]&gt;=7),"High Pressure","Low Pressure")</f>
        <v>Low Pressure</v>
      </c>
      <c r="G276" t="s">
        <v>30</v>
      </c>
      <c r="H276">
        <v>1</v>
      </c>
      <c r="I276">
        <v>3</v>
      </c>
      <c r="J276" t="s">
        <v>15</v>
      </c>
      <c r="K276">
        <f>world_cup_matches9[[#This Row],[Home Goals]]+world_cup_matches9[[#This Row],[Away Goals]]</f>
        <v>4</v>
      </c>
      <c r="L276" t="s">
        <v>132</v>
      </c>
      <c r="M2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6" t="b">
        <v>0</v>
      </c>
    </row>
    <row r="277" spans="1:14" x14ac:dyDescent="0.3">
      <c r="A277">
        <v>436</v>
      </c>
      <c r="B277">
        <v>1990</v>
      </c>
      <c r="C277" s="2">
        <v>33041</v>
      </c>
      <c r="D277" s="3" cm="1">
        <f t="array" ref="D2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7" t="s">
        <v>38</v>
      </c>
      <c r="F277" t="str">
        <f>IF((world_cup_matches9[[#This Row],[StageOrder]]&gt;=7),"High Pressure","Low Pressure")</f>
        <v>Low Pressure</v>
      </c>
      <c r="G277" t="s">
        <v>19</v>
      </c>
      <c r="H277">
        <v>3</v>
      </c>
      <c r="I277">
        <v>1</v>
      </c>
      <c r="J277" t="s">
        <v>29</v>
      </c>
      <c r="K277">
        <f>world_cup_matches9[[#This Row],[Home Goals]]+world_cup_matches9[[#This Row],[Away Goals]]</f>
        <v>4</v>
      </c>
      <c r="L277" t="s">
        <v>132</v>
      </c>
      <c r="M2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7" t="b">
        <v>0</v>
      </c>
    </row>
    <row r="278" spans="1:14" x14ac:dyDescent="0.3">
      <c r="A278">
        <v>437</v>
      </c>
      <c r="B278">
        <v>1990</v>
      </c>
      <c r="C278" s="2">
        <v>33042</v>
      </c>
      <c r="D278" s="3" cm="1">
        <f t="array" ref="D2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8" t="s">
        <v>38</v>
      </c>
      <c r="F278" t="str">
        <f>IF((world_cup_matches9[[#This Row],[StageOrder]]&gt;=7),"High Pressure","Low Pressure")</f>
        <v>Low Pressure</v>
      </c>
      <c r="G278" t="s">
        <v>7</v>
      </c>
      <c r="H278">
        <v>1</v>
      </c>
      <c r="I278">
        <v>1</v>
      </c>
      <c r="J278" t="s">
        <v>68</v>
      </c>
      <c r="K278">
        <f>world_cup_matches9[[#This Row],[Home Goals]]+world_cup_matches9[[#This Row],[Away Goals]]</f>
        <v>2</v>
      </c>
      <c r="L278" t="s">
        <v>132</v>
      </c>
      <c r="M2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8" t="b">
        <v>0</v>
      </c>
    </row>
    <row r="279" spans="1:14" x14ac:dyDescent="0.3">
      <c r="A279">
        <v>438</v>
      </c>
      <c r="B279">
        <v>1990</v>
      </c>
      <c r="C279" s="2">
        <v>33042</v>
      </c>
      <c r="D279" s="3" cm="1">
        <f t="array" ref="D2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79" t="s">
        <v>38</v>
      </c>
      <c r="F279" t="str">
        <f>IF((world_cup_matches9[[#This Row],[StageOrder]]&gt;=7),"High Pressure","Low Pressure")</f>
        <v>Low Pressure</v>
      </c>
      <c r="G279" t="s">
        <v>26</v>
      </c>
      <c r="H279">
        <v>0</v>
      </c>
      <c r="I279">
        <v>4</v>
      </c>
      <c r="J279" t="s">
        <v>54</v>
      </c>
      <c r="K279">
        <f>world_cup_matches9[[#This Row],[Home Goals]]+world_cup_matches9[[#This Row],[Away Goals]]</f>
        <v>4</v>
      </c>
      <c r="L279" t="s">
        <v>132</v>
      </c>
      <c r="M2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79" t="b">
        <v>0</v>
      </c>
    </row>
    <row r="280" spans="1:14" x14ac:dyDescent="0.3">
      <c r="A280">
        <v>439</v>
      </c>
      <c r="B280">
        <v>1990</v>
      </c>
      <c r="C280" s="2">
        <v>33043</v>
      </c>
      <c r="D280" s="3" cm="1">
        <f t="array" ref="D2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0" t="s">
        <v>38</v>
      </c>
      <c r="F280" t="str">
        <f>IF((world_cup_matches9[[#This Row],[StageOrder]]&gt;=7),"High Pressure","Low Pressure")</f>
        <v>Low Pressure</v>
      </c>
      <c r="G280" t="s">
        <v>17</v>
      </c>
      <c r="H280">
        <v>1</v>
      </c>
      <c r="I280">
        <v>1</v>
      </c>
      <c r="J280" t="s">
        <v>53</v>
      </c>
      <c r="K280">
        <f>world_cup_matches9[[#This Row],[Home Goals]]+world_cup_matches9[[#This Row],[Away Goals]]</f>
        <v>2</v>
      </c>
      <c r="L280" t="s">
        <v>132</v>
      </c>
      <c r="M2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0" t="b">
        <v>0</v>
      </c>
    </row>
    <row r="281" spans="1:14" x14ac:dyDescent="0.3">
      <c r="A281">
        <v>440</v>
      </c>
      <c r="B281">
        <v>1990</v>
      </c>
      <c r="C281" s="2">
        <v>33043</v>
      </c>
      <c r="D281" s="3" cm="1">
        <f t="array" ref="D2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1" t="s">
        <v>38</v>
      </c>
      <c r="F281" t="str">
        <f>IF((world_cup_matches9[[#This Row],[StageOrder]]&gt;=7),"High Pressure","Low Pressure")</f>
        <v>Low Pressure</v>
      </c>
      <c r="G281" t="s">
        <v>69</v>
      </c>
      <c r="H281">
        <v>4</v>
      </c>
      <c r="I281">
        <v>1</v>
      </c>
      <c r="J281" t="s">
        <v>48</v>
      </c>
      <c r="K281">
        <f>world_cup_matches9[[#This Row],[Home Goals]]+world_cup_matches9[[#This Row],[Away Goals]]</f>
        <v>5</v>
      </c>
      <c r="L281" t="s">
        <v>132</v>
      </c>
      <c r="M2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1" t="b">
        <v>0</v>
      </c>
    </row>
    <row r="282" spans="1:14" x14ac:dyDescent="0.3">
      <c r="A282">
        <v>441</v>
      </c>
      <c r="B282">
        <v>1990</v>
      </c>
      <c r="C282" s="2">
        <v>33043</v>
      </c>
      <c r="D282" s="3" cm="1">
        <f t="array" ref="D2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2" t="s">
        <v>38</v>
      </c>
      <c r="F282" t="str">
        <f>IF((world_cup_matches9[[#This Row],[StageOrder]]&gt;=7),"High Pressure","Low Pressure")</f>
        <v>Low Pressure</v>
      </c>
      <c r="G282" t="s">
        <v>46</v>
      </c>
      <c r="H282">
        <v>2</v>
      </c>
      <c r="I282">
        <v>0</v>
      </c>
      <c r="J282" t="s">
        <v>61</v>
      </c>
      <c r="K282">
        <f>world_cup_matches9[[#This Row],[Home Goals]]+world_cup_matches9[[#This Row],[Away Goals]]</f>
        <v>2</v>
      </c>
      <c r="L282" t="s">
        <v>132</v>
      </c>
      <c r="M2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2" t="b">
        <v>1</v>
      </c>
    </row>
    <row r="283" spans="1:14" x14ac:dyDescent="0.3">
      <c r="A283">
        <v>442</v>
      </c>
      <c r="B283">
        <v>1990</v>
      </c>
      <c r="C283" s="2">
        <v>33043</v>
      </c>
      <c r="D283" s="3" cm="1">
        <f t="array" ref="D2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3" t="s">
        <v>38</v>
      </c>
      <c r="F283" t="str">
        <f>IF((world_cup_matches9[[#This Row],[StageOrder]]&gt;=7),"High Pressure","Low Pressure")</f>
        <v>Low Pressure</v>
      </c>
      <c r="G283" t="s">
        <v>55</v>
      </c>
      <c r="H283">
        <v>2</v>
      </c>
      <c r="I283">
        <v>1</v>
      </c>
      <c r="J283" t="s">
        <v>5</v>
      </c>
      <c r="K283">
        <f>world_cup_matches9[[#This Row],[Home Goals]]+world_cup_matches9[[#This Row],[Away Goals]]</f>
        <v>3</v>
      </c>
      <c r="L283" t="s">
        <v>132</v>
      </c>
      <c r="M2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3" t="b">
        <v>0</v>
      </c>
    </row>
    <row r="284" spans="1:14" x14ac:dyDescent="0.3">
      <c r="A284">
        <v>443</v>
      </c>
      <c r="B284">
        <v>1990</v>
      </c>
      <c r="C284" s="2">
        <v>33044</v>
      </c>
      <c r="D284" s="3" cm="1">
        <f t="array" ref="D2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4" t="s">
        <v>38</v>
      </c>
      <c r="F284" t="str">
        <f>IF((world_cup_matches9[[#This Row],[StageOrder]]&gt;=7),"High Pressure","Low Pressure")</f>
        <v>Low Pressure</v>
      </c>
      <c r="G284" t="s">
        <v>23</v>
      </c>
      <c r="H284">
        <v>1</v>
      </c>
      <c r="I284">
        <v>0</v>
      </c>
      <c r="J284" t="s">
        <v>49</v>
      </c>
      <c r="K284">
        <f>world_cup_matches9[[#This Row],[Home Goals]]+world_cup_matches9[[#This Row],[Away Goals]]</f>
        <v>1</v>
      </c>
      <c r="L284" t="s">
        <v>132</v>
      </c>
      <c r="M2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4" t="b">
        <v>0</v>
      </c>
    </row>
    <row r="285" spans="1:14" x14ac:dyDescent="0.3">
      <c r="A285">
        <v>444</v>
      </c>
      <c r="B285">
        <v>1990</v>
      </c>
      <c r="C285" s="2">
        <v>33044</v>
      </c>
      <c r="D285" s="3" cm="1">
        <f t="array" ref="D2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5" t="s">
        <v>38</v>
      </c>
      <c r="F285" t="str">
        <f>IF((world_cup_matches9[[#This Row],[StageOrder]]&gt;=7),"High Pressure","Low Pressure")</f>
        <v>Low Pressure</v>
      </c>
      <c r="G285" t="s">
        <v>62</v>
      </c>
      <c r="H285">
        <v>1</v>
      </c>
      <c r="I285">
        <v>2</v>
      </c>
      <c r="J285" t="s">
        <v>16</v>
      </c>
      <c r="K285">
        <f>world_cup_matches9[[#This Row],[Home Goals]]+world_cup_matches9[[#This Row],[Away Goals]]</f>
        <v>3</v>
      </c>
      <c r="L285" t="s">
        <v>132</v>
      </c>
      <c r="M2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5" t="b">
        <v>0</v>
      </c>
    </row>
    <row r="286" spans="1:14" x14ac:dyDescent="0.3">
      <c r="A286">
        <v>445</v>
      </c>
      <c r="B286">
        <v>1990</v>
      </c>
      <c r="C286" s="2">
        <v>33045</v>
      </c>
      <c r="D286" s="3" cm="1">
        <f t="array" ref="D2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6" t="s">
        <v>38</v>
      </c>
      <c r="F286" t="str">
        <f>IF((world_cup_matches9[[#This Row],[StageOrder]]&gt;=7),"High Pressure","Low Pressure")</f>
        <v>Low Pressure</v>
      </c>
      <c r="G286" t="s">
        <v>30</v>
      </c>
      <c r="H286">
        <v>0</v>
      </c>
      <c r="I286">
        <v>1</v>
      </c>
      <c r="J286" t="s">
        <v>29</v>
      </c>
      <c r="K286">
        <f>world_cup_matches9[[#This Row],[Home Goals]]+world_cup_matches9[[#This Row],[Away Goals]]</f>
        <v>1</v>
      </c>
      <c r="L286" t="s">
        <v>132</v>
      </c>
      <c r="M2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6" t="b">
        <v>0</v>
      </c>
    </row>
    <row r="287" spans="1:14" x14ac:dyDescent="0.3">
      <c r="A287">
        <v>446</v>
      </c>
      <c r="B287">
        <v>1990</v>
      </c>
      <c r="C287" s="2">
        <v>33045</v>
      </c>
      <c r="D287" s="3" cm="1">
        <f t="array" ref="D2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7" t="s">
        <v>38</v>
      </c>
      <c r="F287" t="str">
        <f>IF((world_cup_matches9[[#This Row],[StageOrder]]&gt;=7),"High Pressure","Low Pressure")</f>
        <v>Low Pressure</v>
      </c>
      <c r="G287" t="s">
        <v>19</v>
      </c>
      <c r="H287">
        <v>1</v>
      </c>
      <c r="I287">
        <v>2</v>
      </c>
      <c r="J287" t="s">
        <v>15</v>
      </c>
      <c r="K287">
        <f>world_cup_matches9[[#This Row],[Home Goals]]+world_cup_matches9[[#This Row],[Away Goals]]</f>
        <v>3</v>
      </c>
      <c r="L287" t="s">
        <v>132</v>
      </c>
      <c r="M2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7" t="b">
        <v>0</v>
      </c>
    </row>
    <row r="288" spans="1:14" x14ac:dyDescent="0.3">
      <c r="A288">
        <v>447</v>
      </c>
      <c r="B288">
        <v>1990</v>
      </c>
      <c r="C288" s="2">
        <v>33045</v>
      </c>
      <c r="D288" s="3" cm="1">
        <f t="array" ref="D2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8" t="s">
        <v>38</v>
      </c>
      <c r="F288" t="str">
        <f>IF((world_cup_matches9[[#This Row],[StageOrder]]&gt;=7),"High Pressure","Low Pressure")</f>
        <v>Low Pressure</v>
      </c>
      <c r="G288" t="s">
        <v>73</v>
      </c>
      <c r="H288">
        <v>1</v>
      </c>
      <c r="I288">
        <v>1</v>
      </c>
      <c r="J288" t="s">
        <v>2</v>
      </c>
      <c r="K288">
        <f>world_cup_matches9[[#This Row],[Home Goals]]+world_cup_matches9[[#This Row],[Away Goals]]</f>
        <v>2</v>
      </c>
      <c r="L288" t="s">
        <v>132</v>
      </c>
      <c r="M2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8" t="b">
        <v>0</v>
      </c>
    </row>
    <row r="289" spans="1:14" x14ac:dyDescent="0.3">
      <c r="A289">
        <v>448</v>
      </c>
      <c r="B289">
        <v>1990</v>
      </c>
      <c r="C289" s="2">
        <v>33045</v>
      </c>
      <c r="D289" s="3" cm="1">
        <f t="array" ref="D2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89" t="s">
        <v>38</v>
      </c>
      <c r="F289" t="str">
        <f>IF((world_cup_matches9[[#This Row],[StageOrder]]&gt;=7),"High Pressure","Low Pressure")</f>
        <v>Low Pressure</v>
      </c>
      <c r="G289" t="s">
        <v>3</v>
      </c>
      <c r="H289">
        <v>1</v>
      </c>
      <c r="I289">
        <v>0</v>
      </c>
      <c r="J289" t="s">
        <v>51</v>
      </c>
      <c r="K289">
        <f>world_cup_matches9[[#This Row],[Home Goals]]+world_cup_matches9[[#This Row],[Away Goals]]</f>
        <v>1</v>
      </c>
      <c r="L289" t="s">
        <v>132</v>
      </c>
      <c r="M2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89" t="b">
        <v>0</v>
      </c>
    </row>
    <row r="290" spans="1:14" x14ac:dyDescent="0.3">
      <c r="A290">
        <v>465</v>
      </c>
      <c r="B290">
        <v>1994</v>
      </c>
      <c r="C290" s="2">
        <v>34502</v>
      </c>
      <c r="D290" s="3" cm="1">
        <f t="array" ref="D2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0" t="s">
        <v>38</v>
      </c>
      <c r="F290" t="str">
        <f>IF((world_cup_matches9[[#This Row],[StageOrder]]&gt;=7),"High Pressure","Low Pressure")</f>
        <v>Low Pressure</v>
      </c>
      <c r="G290" t="s">
        <v>17</v>
      </c>
      <c r="H290">
        <v>1</v>
      </c>
      <c r="I290">
        <v>0</v>
      </c>
      <c r="J290" t="s">
        <v>71</v>
      </c>
      <c r="K290">
        <f>world_cup_matches9[[#This Row],[Home Goals]]+world_cup_matches9[[#This Row],[Away Goals]]</f>
        <v>1</v>
      </c>
      <c r="L290" t="s">
        <v>132</v>
      </c>
      <c r="M2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0" t="b">
        <v>0</v>
      </c>
    </row>
    <row r="291" spans="1:14" x14ac:dyDescent="0.3">
      <c r="A291">
        <v>466</v>
      </c>
      <c r="B291">
        <v>1994</v>
      </c>
      <c r="C291" s="2">
        <v>34502</v>
      </c>
      <c r="D291" s="3" cm="1">
        <f t="array" ref="D2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1" t="s">
        <v>38</v>
      </c>
      <c r="F291" t="str">
        <f>IF((world_cup_matches9[[#This Row],[StageOrder]]&gt;=7),"High Pressure","Low Pressure")</f>
        <v>Low Pressure</v>
      </c>
      <c r="G291" t="s">
        <v>15</v>
      </c>
      <c r="H291">
        <v>2</v>
      </c>
      <c r="I291">
        <v>2</v>
      </c>
      <c r="J291" t="s">
        <v>30</v>
      </c>
      <c r="K291">
        <f>world_cup_matches9[[#This Row],[Home Goals]]+world_cup_matches9[[#This Row],[Away Goals]]</f>
        <v>4</v>
      </c>
      <c r="L291" t="s">
        <v>132</v>
      </c>
      <c r="M2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1" t="b">
        <v>0</v>
      </c>
    </row>
    <row r="292" spans="1:14" x14ac:dyDescent="0.3">
      <c r="A292">
        <v>467</v>
      </c>
      <c r="B292">
        <v>1994</v>
      </c>
      <c r="C292" s="2">
        <v>34503</v>
      </c>
      <c r="D292" s="3" cm="1">
        <f t="array" ref="D2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2" t="s">
        <v>38</v>
      </c>
      <c r="F292" t="str">
        <f>IF((world_cup_matches9[[#This Row],[StageOrder]]&gt;=7),"High Pressure","Low Pressure")</f>
        <v>Low Pressure</v>
      </c>
      <c r="G292" t="s">
        <v>5</v>
      </c>
      <c r="H292">
        <v>1</v>
      </c>
      <c r="I292">
        <v>1</v>
      </c>
      <c r="J292" t="s">
        <v>25</v>
      </c>
      <c r="K292">
        <f>world_cup_matches9[[#This Row],[Home Goals]]+world_cup_matches9[[#This Row],[Away Goals]]</f>
        <v>2</v>
      </c>
      <c r="L292" t="s">
        <v>132</v>
      </c>
      <c r="M2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2" t="b">
        <v>1</v>
      </c>
    </row>
    <row r="293" spans="1:14" x14ac:dyDescent="0.3">
      <c r="A293">
        <v>468</v>
      </c>
      <c r="B293">
        <v>1994</v>
      </c>
      <c r="C293" s="2">
        <v>34503</v>
      </c>
      <c r="D293" s="3" cm="1">
        <f t="array" ref="D2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3" t="s">
        <v>38</v>
      </c>
      <c r="F293" t="str">
        <f>IF((world_cup_matches9[[#This Row],[StageOrder]]&gt;=7),"High Pressure","Low Pressure")</f>
        <v>Low Pressure</v>
      </c>
      <c r="G293" t="s">
        <v>46</v>
      </c>
      <c r="H293">
        <v>0</v>
      </c>
      <c r="I293">
        <v>1</v>
      </c>
      <c r="J293" t="s">
        <v>73</v>
      </c>
      <c r="K293">
        <f>world_cup_matches9[[#This Row],[Home Goals]]+world_cup_matches9[[#This Row],[Away Goals]]</f>
        <v>1</v>
      </c>
      <c r="L293" t="s">
        <v>132</v>
      </c>
      <c r="M2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3" t="b">
        <v>0</v>
      </c>
    </row>
    <row r="294" spans="1:14" x14ac:dyDescent="0.3">
      <c r="A294">
        <v>469</v>
      </c>
      <c r="B294">
        <v>1994</v>
      </c>
      <c r="C294" s="2">
        <v>34503</v>
      </c>
      <c r="D294" s="3" cm="1">
        <f t="array" ref="D2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4" t="s">
        <v>38</v>
      </c>
      <c r="F294" t="str">
        <f>IF((world_cup_matches9[[#This Row],[StageOrder]]&gt;=7),"High Pressure","Low Pressure")</f>
        <v>Low Pressure</v>
      </c>
      <c r="G294" t="s">
        <v>53</v>
      </c>
      <c r="H294">
        <v>1</v>
      </c>
      <c r="I294">
        <v>3</v>
      </c>
      <c r="J294" t="s">
        <v>68</v>
      </c>
      <c r="K294">
        <f>world_cup_matches9[[#This Row],[Home Goals]]+world_cup_matches9[[#This Row],[Away Goals]]</f>
        <v>4</v>
      </c>
      <c r="L294" t="s">
        <v>132</v>
      </c>
      <c r="M2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4" t="b">
        <v>0</v>
      </c>
    </row>
    <row r="295" spans="1:14" x14ac:dyDescent="0.3">
      <c r="A295">
        <v>470</v>
      </c>
      <c r="B295">
        <v>1994</v>
      </c>
      <c r="C295" s="2">
        <v>34504</v>
      </c>
      <c r="D295" s="3" cm="1">
        <f t="array" ref="D2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5" t="s">
        <v>38</v>
      </c>
      <c r="F295" t="str">
        <f>IF((world_cup_matches9[[#This Row],[StageOrder]]&gt;=7),"High Pressure","Low Pressure")</f>
        <v>Low Pressure</v>
      </c>
      <c r="G295" t="s">
        <v>19</v>
      </c>
      <c r="H295">
        <v>1</v>
      </c>
      <c r="I295">
        <v>0</v>
      </c>
      <c r="J295" t="s">
        <v>21</v>
      </c>
      <c r="K295">
        <f>world_cup_matches9[[#This Row],[Home Goals]]+world_cup_matches9[[#This Row],[Away Goals]]</f>
        <v>1</v>
      </c>
      <c r="L295" t="s">
        <v>132</v>
      </c>
      <c r="M2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5" t="b">
        <v>0</v>
      </c>
    </row>
    <row r="296" spans="1:14" x14ac:dyDescent="0.3">
      <c r="A296">
        <v>471</v>
      </c>
      <c r="B296">
        <v>1994</v>
      </c>
      <c r="C296" s="2">
        <v>34504</v>
      </c>
      <c r="D296" s="3" cm="1">
        <f t="array" ref="D2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6" t="s">
        <v>38</v>
      </c>
      <c r="F296" t="str">
        <f>IF((world_cup_matches9[[#This Row],[StageOrder]]&gt;=7),"High Pressure","Low Pressure")</f>
        <v>Low Pressure</v>
      </c>
      <c r="G296" t="s">
        <v>64</v>
      </c>
      <c r="H296">
        <v>1</v>
      </c>
      <c r="I296">
        <v>0</v>
      </c>
      <c r="J296" t="s">
        <v>9</v>
      </c>
      <c r="K296">
        <f>world_cup_matches9[[#This Row],[Home Goals]]+world_cup_matches9[[#This Row],[Away Goals]]</f>
        <v>1</v>
      </c>
      <c r="L296" t="s">
        <v>132</v>
      </c>
      <c r="M2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6" t="b">
        <v>0</v>
      </c>
    </row>
    <row r="297" spans="1:14" x14ac:dyDescent="0.3">
      <c r="A297">
        <v>472</v>
      </c>
      <c r="B297">
        <v>1994</v>
      </c>
      <c r="C297" s="2">
        <v>34504</v>
      </c>
      <c r="D297" s="3" cm="1">
        <f t="array" ref="D2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7" t="s">
        <v>38</v>
      </c>
      <c r="F297" t="str">
        <f>IF((world_cup_matches9[[#This Row],[StageOrder]]&gt;=7),"High Pressure","Low Pressure")</f>
        <v>Low Pressure</v>
      </c>
      <c r="G297" t="s">
        <v>26</v>
      </c>
      <c r="H297">
        <v>2</v>
      </c>
      <c r="I297">
        <v>2</v>
      </c>
      <c r="J297" t="s">
        <v>62</v>
      </c>
      <c r="K297">
        <f>world_cup_matches9[[#This Row],[Home Goals]]+world_cup_matches9[[#This Row],[Away Goals]]</f>
        <v>4</v>
      </c>
      <c r="L297" t="s">
        <v>132</v>
      </c>
      <c r="M2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7" t="b">
        <v>0</v>
      </c>
    </row>
    <row r="298" spans="1:14" x14ac:dyDescent="0.3">
      <c r="A298">
        <v>473</v>
      </c>
      <c r="B298">
        <v>1994</v>
      </c>
      <c r="C298" s="2">
        <v>34505</v>
      </c>
      <c r="D298" s="3" cm="1">
        <f t="array" ref="D2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8" t="s">
        <v>38</v>
      </c>
      <c r="F298" t="str">
        <f>IF((world_cup_matches9[[#This Row],[StageOrder]]&gt;=7),"High Pressure","Low Pressure")</f>
        <v>Low Pressure</v>
      </c>
      <c r="G298" t="s">
        <v>23</v>
      </c>
      <c r="H298">
        <v>2</v>
      </c>
      <c r="I298">
        <v>0</v>
      </c>
      <c r="J298" t="s">
        <v>54</v>
      </c>
      <c r="K298">
        <f>world_cup_matches9[[#This Row],[Home Goals]]+world_cup_matches9[[#This Row],[Away Goals]]</f>
        <v>2</v>
      </c>
      <c r="L298" t="s">
        <v>132</v>
      </c>
      <c r="M2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8" t="b">
        <v>0</v>
      </c>
    </row>
    <row r="299" spans="1:14" x14ac:dyDescent="0.3">
      <c r="A299">
        <v>474</v>
      </c>
      <c r="B299">
        <v>1994</v>
      </c>
      <c r="C299" s="2">
        <v>34505</v>
      </c>
      <c r="D299" s="3" cm="1">
        <f t="array" ref="D2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299" t="s">
        <v>38</v>
      </c>
      <c r="F299" t="str">
        <f>IF((world_cup_matches9[[#This Row],[StageOrder]]&gt;=7),"High Pressure","Low Pressure")</f>
        <v>Low Pressure</v>
      </c>
      <c r="G299" t="s">
        <v>2</v>
      </c>
      <c r="H299">
        <v>2</v>
      </c>
      <c r="I299">
        <v>1</v>
      </c>
      <c r="J299" t="s">
        <v>8</v>
      </c>
      <c r="K299">
        <f>world_cup_matches9[[#This Row],[Home Goals]]+world_cup_matches9[[#This Row],[Away Goals]]</f>
        <v>3</v>
      </c>
      <c r="L299" t="s">
        <v>132</v>
      </c>
      <c r="M2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299" t="b">
        <v>0</v>
      </c>
    </row>
    <row r="300" spans="1:14" x14ac:dyDescent="0.3">
      <c r="A300">
        <v>475</v>
      </c>
      <c r="B300">
        <v>1994</v>
      </c>
      <c r="C300" s="2">
        <v>34506</v>
      </c>
      <c r="D300" s="3" cm="1">
        <f t="array" ref="D3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0" t="s">
        <v>38</v>
      </c>
      <c r="F300" t="str">
        <f>IF((world_cup_matches9[[#This Row],[StageOrder]]&gt;=7),"High Pressure","Low Pressure")</f>
        <v>Low Pressure</v>
      </c>
      <c r="G300" t="s">
        <v>7</v>
      </c>
      <c r="H300">
        <v>4</v>
      </c>
      <c r="I300">
        <v>0</v>
      </c>
      <c r="J300" t="s">
        <v>47</v>
      </c>
      <c r="K300">
        <f>world_cup_matches9[[#This Row],[Home Goals]]+world_cup_matches9[[#This Row],[Away Goals]]</f>
        <v>4</v>
      </c>
      <c r="L300" t="s">
        <v>132</v>
      </c>
      <c r="M3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0" t="b">
        <v>0</v>
      </c>
    </row>
    <row r="301" spans="1:14" x14ac:dyDescent="0.3">
      <c r="A301">
        <v>476</v>
      </c>
      <c r="B301">
        <v>1994</v>
      </c>
      <c r="C301" s="2">
        <v>34506</v>
      </c>
      <c r="D301" s="3" cm="1">
        <f t="array" ref="D3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1" t="s">
        <v>38</v>
      </c>
      <c r="F301" t="str">
        <f>IF((world_cup_matches9[[#This Row],[StageOrder]]&gt;=7),"High Pressure","Low Pressure")</f>
        <v>Low Pressure</v>
      </c>
      <c r="G301" t="s">
        <v>17</v>
      </c>
      <c r="H301">
        <v>1</v>
      </c>
      <c r="I301">
        <v>1</v>
      </c>
      <c r="J301" t="s">
        <v>15</v>
      </c>
      <c r="K301">
        <f>world_cup_matches9[[#This Row],[Home Goals]]+world_cup_matches9[[#This Row],[Away Goals]]</f>
        <v>2</v>
      </c>
      <c r="L301" t="s">
        <v>132</v>
      </c>
      <c r="M3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1" t="b">
        <v>0</v>
      </c>
    </row>
    <row r="302" spans="1:14" x14ac:dyDescent="0.3">
      <c r="A302">
        <v>477</v>
      </c>
      <c r="B302">
        <v>1994</v>
      </c>
      <c r="C302" s="2">
        <v>34506</v>
      </c>
      <c r="D302" s="3" cm="1">
        <f t="array" ref="D3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2" t="s">
        <v>38</v>
      </c>
      <c r="F302" t="str">
        <f>IF((world_cup_matches9[[#This Row],[StageOrder]]&gt;=7),"High Pressure","Low Pressure")</f>
        <v>Low Pressure</v>
      </c>
      <c r="G302" t="s">
        <v>82</v>
      </c>
      <c r="H302">
        <v>3</v>
      </c>
      <c r="I302">
        <v>0</v>
      </c>
      <c r="J302" t="s">
        <v>74</v>
      </c>
      <c r="K302">
        <f>world_cup_matches9[[#This Row],[Home Goals]]+world_cup_matches9[[#This Row],[Away Goals]]</f>
        <v>3</v>
      </c>
      <c r="L302" t="s">
        <v>132</v>
      </c>
      <c r="M3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2" t="b">
        <v>0</v>
      </c>
    </row>
    <row r="303" spans="1:14" x14ac:dyDescent="0.3">
      <c r="A303">
        <v>478</v>
      </c>
      <c r="B303">
        <v>1994</v>
      </c>
      <c r="C303" s="2">
        <v>34507</v>
      </c>
      <c r="D303" s="3" cm="1">
        <f t="array" ref="D3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3" t="s">
        <v>38</v>
      </c>
      <c r="F303" t="str">
        <f>IF((world_cup_matches9[[#This Row],[StageOrder]]&gt;=7),"High Pressure","Low Pressure")</f>
        <v>Low Pressure</v>
      </c>
      <c r="G303" t="s">
        <v>68</v>
      </c>
      <c r="H303">
        <v>1</v>
      </c>
      <c r="I303">
        <v>4</v>
      </c>
      <c r="J303" t="s">
        <v>25</v>
      </c>
      <c r="K303">
        <f>world_cup_matches9[[#This Row],[Home Goals]]+world_cup_matches9[[#This Row],[Away Goals]]</f>
        <v>5</v>
      </c>
      <c r="L303" t="s">
        <v>132</v>
      </c>
      <c r="M3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3" t="b">
        <v>0</v>
      </c>
    </row>
    <row r="304" spans="1:14" x14ac:dyDescent="0.3">
      <c r="A304">
        <v>479</v>
      </c>
      <c r="B304">
        <v>1994</v>
      </c>
      <c r="C304" s="2">
        <v>34507</v>
      </c>
      <c r="D304" s="3" cm="1">
        <f t="array" ref="D3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4" t="s">
        <v>38</v>
      </c>
      <c r="F304" t="str">
        <f>IF((world_cup_matches9[[#This Row],[StageOrder]]&gt;=7),"High Pressure","Low Pressure")</f>
        <v>Low Pressure</v>
      </c>
      <c r="G304" t="s">
        <v>5</v>
      </c>
      <c r="H304">
        <v>2</v>
      </c>
      <c r="I304">
        <v>1</v>
      </c>
      <c r="J304" t="s">
        <v>53</v>
      </c>
      <c r="K304">
        <f>world_cup_matches9[[#This Row],[Home Goals]]+world_cup_matches9[[#This Row],[Away Goals]]</f>
        <v>3</v>
      </c>
      <c r="L304" t="s">
        <v>132</v>
      </c>
      <c r="M3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4" t="b">
        <v>1</v>
      </c>
    </row>
    <row r="305" spans="1:14" x14ac:dyDescent="0.3">
      <c r="A305">
        <v>480</v>
      </c>
      <c r="B305">
        <v>1994</v>
      </c>
      <c r="C305" s="2">
        <v>34508</v>
      </c>
      <c r="D305" s="3" cm="1">
        <f t="array" ref="D3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5" t="s">
        <v>38</v>
      </c>
      <c r="F305" t="str">
        <f>IF((world_cup_matches9[[#This Row],[StageOrder]]&gt;=7),"High Pressure","Low Pressure")</f>
        <v>Low Pressure</v>
      </c>
      <c r="G305" t="s">
        <v>46</v>
      </c>
      <c r="H305">
        <v>1</v>
      </c>
      <c r="I305">
        <v>0</v>
      </c>
      <c r="J305" t="s">
        <v>64</v>
      </c>
      <c r="K305">
        <f>world_cup_matches9[[#This Row],[Home Goals]]+world_cup_matches9[[#This Row],[Away Goals]]</f>
        <v>1</v>
      </c>
      <c r="L305" t="s">
        <v>132</v>
      </c>
      <c r="M3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5" t="b">
        <v>0</v>
      </c>
    </row>
    <row r="306" spans="1:14" x14ac:dyDescent="0.3">
      <c r="A306">
        <v>481</v>
      </c>
      <c r="B306">
        <v>1994</v>
      </c>
      <c r="C306" s="2">
        <v>34508</v>
      </c>
      <c r="D306" s="3" cm="1">
        <f t="array" ref="D3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6" t="s">
        <v>38</v>
      </c>
      <c r="F306" t="str">
        <f>IF((world_cup_matches9[[#This Row],[StageOrder]]&gt;=7),"High Pressure","Low Pressure")</f>
        <v>Low Pressure</v>
      </c>
      <c r="G306" t="s">
        <v>30</v>
      </c>
      <c r="H306">
        <v>0</v>
      </c>
      <c r="I306">
        <v>0</v>
      </c>
      <c r="J306" t="s">
        <v>71</v>
      </c>
      <c r="K306">
        <f>world_cup_matches9[[#This Row],[Home Goals]]+world_cup_matches9[[#This Row],[Away Goals]]</f>
        <v>0</v>
      </c>
      <c r="L306" t="s">
        <v>132</v>
      </c>
      <c r="M3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6" t="b">
        <v>0</v>
      </c>
    </row>
    <row r="307" spans="1:14" x14ac:dyDescent="0.3">
      <c r="A307">
        <v>482</v>
      </c>
      <c r="B307">
        <v>1994</v>
      </c>
      <c r="C307" s="2">
        <v>34509</v>
      </c>
      <c r="D307" s="3" cm="1">
        <f t="array" ref="D3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7" t="s">
        <v>38</v>
      </c>
      <c r="F307" t="str">
        <f>IF((world_cup_matches9[[#This Row],[StageOrder]]&gt;=7),"High Pressure","Low Pressure")</f>
        <v>Low Pressure</v>
      </c>
      <c r="G307" t="s">
        <v>9</v>
      </c>
      <c r="H307">
        <v>2</v>
      </c>
      <c r="I307">
        <v>1</v>
      </c>
      <c r="J307" t="s">
        <v>73</v>
      </c>
      <c r="K307">
        <f>world_cup_matches9[[#This Row],[Home Goals]]+world_cup_matches9[[#This Row],[Away Goals]]</f>
        <v>3</v>
      </c>
      <c r="L307" t="s">
        <v>132</v>
      </c>
      <c r="M3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7" t="b">
        <v>0</v>
      </c>
    </row>
    <row r="308" spans="1:14" x14ac:dyDescent="0.3">
      <c r="A308">
        <v>483</v>
      </c>
      <c r="B308">
        <v>1994</v>
      </c>
      <c r="C308" s="2">
        <v>34509</v>
      </c>
      <c r="D308" s="3" cm="1">
        <f t="array" ref="D3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8" t="s">
        <v>38</v>
      </c>
      <c r="F308" t="str">
        <f>IF((world_cup_matches9[[#This Row],[StageOrder]]&gt;=7),"High Pressure","Low Pressure")</f>
        <v>Low Pressure</v>
      </c>
      <c r="G308" t="s">
        <v>23</v>
      </c>
      <c r="H308">
        <v>3</v>
      </c>
      <c r="I308">
        <v>0</v>
      </c>
      <c r="J308" t="s">
        <v>26</v>
      </c>
      <c r="K308">
        <f>world_cup_matches9[[#This Row],[Home Goals]]+world_cup_matches9[[#This Row],[Away Goals]]</f>
        <v>3</v>
      </c>
      <c r="L308" t="s">
        <v>132</v>
      </c>
      <c r="M3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8" t="b">
        <v>0</v>
      </c>
    </row>
    <row r="309" spans="1:14" x14ac:dyDescent="0.3">
      <c r="A309">
        <v>484</v>
      </c>
      <c r="B309">
        <v>1994</v>
      </c>
      <c r="C309" s="2">
        <v>34509</v>
      </c>
      <c r="D309" s="3" cm="1">
        <f t="array" ref="D3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09" t="s">
        <v>38</v>
      </c>
      <c r="F309" t="str">
        <f>IF((world_cup_matches9[[#This Row],[StageOrder]]&gt;=7),"High Pressure","Low Pressure")</f>
        <v>Low Pressure</v>
      </c>
      <c r="G309" t="s">
        <v>62</v>
      </c>
      <c r="H309">
        <v>3</v>
      </c>
      <c r="I309">
        <v>1</v>
      </c>
      <c r="J309" t="s">
        <v>54</v>
      </c>
      <c r="K309">
        <f>world_cup_matches9[[#This Row],[Home Goals]]+world_cup_matches9[[#This Row],[Away Goals]]</f>
        <v>4</v>
      </c>
      <c r="L309" t="s">
        <v>132</v>
      </c>
      <c r="M3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09" t="b">
        <v>0</v>
      </c>
    </row>
    <row r="310" spans="1:14" x14ac:dyDescent="0.3">
      <c r="A310">
        <v>485</v>
      </c>
      <c r="B310">
        <v>1994</v>
      </c>
      <c r="C310" s="2">
        <v>34510</v>
      </c>
      <c r="D310" s="3" cm="1">
        <f t="array" ref="D3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0" t="s">
        <v>38</v>
      </c>
      <c r="F310" t="str">
        <f>IF((world_cup_matches9[[#This Row],[StageOrder]]&gt;=7),"High Pressure","Low Pressure")</f>
        <v>Low Pressure</v>
      </c>
      <c r="G310" t="s">
        <v>19</v>
      </c>
      <c r="H310">
        <v>1</v>
      </c>
      <c r="I310">
        <v>0</v>
      </c>
      <c r="J310" t="s">
        <v>2</v>
      </c>
      <c r="K310">
        <f>world_cup_matches9[[#This Row],[Home Goals]]+world_cup_matches9[[#This Row],[Away Goals]]</f>
        <v>1</v>
      </c>
      <c r="L310" t="s">
        <v>132</v>
      </c>
      <c r="M3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0" t="b">
        <v>0</v>
      </c>
    </row>
    <row r="311" spans="1:14" x14ac:dyDescent="0.3">
      <c r="A311">
        <v>486</v>
      </c>
      <c r="B311">
        <v>1994</v>
      </c>
      <c r="C311" s="2">
        <v>34510</v>
      </c>
      <c r="D311" s="3" cm="1">
        <f t="array" ref="D3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1" t="s">
        <v>38</v>
      </c>
      <c r="F311" t="str">
        <f>IF((world_cup_matches9[[#This Row],[StageOrder]]&gt;=7),"High Pressure","Low Pressure")</f>
        <v>Low Pressure</v>
      </c>
      <c r="G311" t="s">
        <v>8</v>
      </c>
      <c r="H311">
        <v>2</v>
      </c>
      <c r="I311">
        <v>1</v>
      </c>
      <c r="J311" t="s">
        <v>21</v>
      </c>
      <c r="K311">
        <f>world_cup_matches9[[#This Row],[Home Goals]]+world_cup_matches9[[#This Row],[Away Goals]]</f>
        <v>3</v>
      </c>
      <c r="L311" t="s">
        <v>132</v>
      </c>
      <c r="M3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1" t="b">
        <v>0</v>
      </c>
    </row>
    <row r="312" spans="1:14" x14ac:dyDescent="0.3">
      <c r="A312">
        <v>487</v>
      </c>
      <c r="B312">
        <v>1994</v>
      </c>
      <c r="C312" s="2">
        <v>34510</v>
      </c>
      <c r="D312" s="3" cm="1">
        <f t="array" ref="D3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2" t="s">
        <v>38</v>
      </c>
      <c r="F312" t="str">
        <f>IF((world_cup_matches9[[#This Row],[StageOrder]]&gt;=7),"High Pressure","Low Pressure")</f>
        <v>Low Pressure</v>
      </c>
      <c r="G312" t="s">
        <v>7</v>
      </c>
      <c r="H312">
        <v>2</v>
      </c>
      <c r="I312">
        <v>1</v>
      </c>
      <c r="J312" t="s">
        <v>82</v>
      </c>
      <c r="K312">
        <f>world_cup_matches9[[#This Row],[Home Goals]]+world_cup_matches9[[#This Row],[Away Goals]]</f>
        <v>3</v>
      </c>
      <c r="L312" t="s">
        <v>132</v>
      </c>
      <c r="M3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2" t="b">
        <v>0</v>
      </c>
    </row>
    <row r="313" spans="1:14" x14ac:dyDescent="0.3">
      <c r="A313">
        <v>488</v>
      </c>
      <c r="B313">
        <v>1994</v>
      </c>
      <c r="C313" s="2">
        <v>34511</v>
      </c>
      <c r="D313" s="3" cm="1">
        <f t="array" ref="D3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3" t="s">
        <v>38</v>
      </c>
      <c r="F313" t="str">
        <f>IF((world_cup_matches9[[#This Row],[StageOrder]]&gt;=7),"High Pressure","Low Pressure")</f>
        <v>Low Pressure</v>
      </c>
      <c r="G313" t="s">
        <v>74</v>
      </c>
      <c r="H313">
        <v>4</v>
      </c>
      <c r="I313">
        <v>0</v>
      </c>
      <c r="J313" t="s">
        <v>47</v>
      </c>
      <c r="K313">
        <f>world_cup_matches9[[#This Row],[Home Goals]]+world_cup_matches9[[#This Row],[Away Goals]]</f>
        <v>4</v>
      </c>
      <c r="L313" t="s">
        <v>132</v>
      </c>
      <c r="M3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3" t="b">
        <v>0</v>
      </c>
    </row>
    <row r="314" spans="1:14" x14ac:dyDescent="0.3">
      <c r="A314">
        <v>489</v>
      </c>
      <c r="B314">
        <v>1994</v>
      </c>
      <c r="C314" s="2">
        <v>34511</v>
      </c>
      <c r="D314" s="3" cm="1">
        <f t="array" ref="D3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4" t="s">
        <v>38</v>
      </c>
      <c r="F314" t="str">
        <f>IF((world_cup_matches9[[#This Row],[StageOrder]]&gt;=7),"High Pressure","Low Pressure")</f>
        <v>Low Pressure</v>
      </c>
      <c r="G314" t="s">
        <v>5</v>
      </c>
      <c r="H314">
        <v>0</v>
      </c>
      <c r="I314">
        <v>1</v>
      </c>
      <c r="J314" t="s">
        <v>68</v>
      </c>
      <c r="K314">
        <f>world_cup_matches9[[#This Row],[Home Goals]]+world_cup_matches9[[#This Row],[Away Goals]]</f>
        <v>1</v>
      </c>
      <c r="L314" t="s">
        <v>132</v>
      </c>
      <c r="M3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4" t="b">
        <v>1</v>
      </c>
    </row>
    <row r="315" spans="1:14" x14ac:dyDescent="0.3">
      <c r="A315">
        <v>490</v>
      </c>
      <c r="B315">
        <v>1994</v>
      </c>
      <c r="C315" s="2">
        <v>34511</v>
      </c>
      <c r="D315" s="3" cm="1">
        <f t="array" ref="D3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5" t="s">
        <v>38</v>
      </c>
      <c r="F315" t="str">
        <f>IF((world_cup_matches9[[#This Row],[StageOrder]]&gt;=7),"High Pressure","Low Pressure")</f>
        <v>Low Pressure</v>
      </c>
      <c r="G315" t="s">
        <v>25</v>
      </c>
      <c r="H315">
        <v>0</v>
      </c>
      <c r="I315">
        <v>2</v>
      </c>
      <c r="J315" t="s">
        <v>53</v>
      </c>
      <c r="K315">
        <f>world_cup_matches9[[#This Row],[Home Goals]]+world_cup_matches9[[#This Row],[Away Goals]]</f>
        <v>2</v>
      </c>
      <c r="L315" t="s">
        <v>132</v>
      </c>
      <c r="M3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5" t="b">
        <v>0</v>
      </c>
    </row>
    <row r="316" spans="1:14" x14ac:dyDescent="0.3">
      <c r="A316">
        <v>491</v>
      </c>
      <c r="B316">
        <v>1994</v>
      </c>
      <c r="C316" s="2">
        <v>34512</v>
      </c>
      <c r="D316" s="3" cm="1">
        <f t="array" ref="D3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6" t="s">
        <v>38</v>
      </c>
      <c r="F316" t="str">
        <f>IF((world_cup_matches9[[#This Row],[StageOrder]]&gt;=7),"High Pressure","Low Pressure")</f>
        <v>Low Pressure</v>
      </c>
      <c r="G316" t="s">
        <v>17</v>
      </c>
      <c r="H316">
        <v>3</v>
      </c>
      <c r="I316">
        <v>2</v>
      </c>
      <c r="J316" t="s">
        <v>30</v>
      </c>
      <c r="K316">
        <f>world_cup_matches9[[#This Row],[Home Goals]]+world_cup_matches9[[#This Row],[Away Goals]]</f>
        <v>5</v>
      </c>
      <c r="L316" t="s">
        <v>132</v>
      </c>
      <c r="M3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6" t="b">
        <v>0</v>
      </c>
    </row>
    <row r="317" spans="1:14" x14ac:dyDescent="0.3">
      <c r="A317">
        <v>492</v>
      </c>
      <c r="B317">
        <v>1994</v>
      </c>
      <c r="C317" s="2">
        <v>34512</v>
      </c>
      <c r="D317" s="3" cm="1">
        <f t="array" ref="D3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7" t="s">
        <v>38</v>
      </c>
      <c r="F317" t="str">
        <f>IF((world_cup_matches9[[#This Row],[StageOrder]]&gt;=7),"High Pressure","Low Pressure")</f>
        <v>Low Pressure</v>
      </c>
      <c r="G317" t="s">
        <v>71</v>
      </c>
      <c r="H317">
        <v>1</v>
      </c>
      <c r="I317">
        <v>3</v>
      </c>
      <c r="J317" t="s">
        <v>15</v>
      </c>
      <c r="K317">
        <f>world_cup_matches9[[#This Row],[Home Goals]]+world_cup_matches9[[#This Row],[Away Goals]]</f>
        <v>4</v>
      </c>
      <c r="L317" t="s">
        <v>132</v>
      </c>
      <c r="M3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7" t="b">
        <v>0</v>
      </c>
    </row>
    <row r="318" spans="1:14" x14ac:dyDescent="0.3">
      <c r="A318">
        <v>493</v>
      </c>
      <c r="B318">
        <v>1994</v>
      </c>
      <c r="C318" s="2">
        <v>34513</v>
      </c>
      <c r="D318" s="3" cm="1">
        <f t="array" ref="D3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8" t="s">
        <v>38</v>
      </c>
      <c r="F318" t="str">
        <f>IF((world_cup_matches9[[#This Row],[StageOrder]]&gt;=7),"High Pressure","Low Pressure")</f>
        <v>Low Pressure</v>
      </c>
      <c r="G318" t="s">
        <v>73</v>
      </c>
      <c r="H318">
        <v>0</v>
      </c>
      <c r="I318">
        <v>0</v>
      </c>
      <c r="J318" t="s">
        <v>64</v>
      </c>
      <c r="K318">
        <f>world_cup_matches9[[#This Row],[Home Goals]]+world_cup_matches9[[#This Row],[Away Goals]]</f>
        <v>0</v>
      </c>
      <c r="L318" t="s">
        <v>132</v>
      </c>
      <c r="M3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8" t="b">
        <v>0</v>
      </c>
    </row>
    <row r="319" spans="1:14" x14ac:dyDescent="0.3">
      <c r="A319">
        <v>494</v>
      </c>
      <c r="B319">
        <v>1994</v>
      </c>
      <c r="C319" s="2">
        <v>34513</v>
      </c>
      <c r="D319" s="3" cm="1">
        <f t="array" ref="D3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19" t="s">
        <v>38</v>
      </c>
      <c r="F319" t="str">
        <f>IF((world_cup_matches9[[#This Row],[StageOrder]]&gt;=7),"High Pressure","Low Pressure")</f>
        <v>Low Pressure</v>
      </c>
      <c r="G319" t="s">
        <v>46</v>
      </c>
      <c r="H319">
        <v>1</v>
      </c>
      <c r="I319">
        <v>1</v>
      </c>
      <c r="J319" t="s">
        <v>9</v>
      </c>
      <c r="K319">
        <f>world_cup_matches9[[#This Row],[Home Goals]]+world_cup_matches9[[#This Row],[Away Goals]]</f>
        <v>2</v>
      </c>
      <c r="L319" t="s">
        <v>132</v>
      </c>
      <c r="M3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19" t="b">
        <v>0</v>
      </c>
    </row>
    <row r="320" spans="1:14" x14ac:dyDescent="0.3">
      <c r="A320">
        <v>495</v>
      </c>
      <c r="B320">
        <v>1994</v>
      </c>
      <c r="C320" s="2">
        <v>34513</v>
      </c>
      <c r="D320" s="3" cm="1">
        <f t="array" ref="D3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0" t="s">
        <v>38</v>
      </c>
      <c r="F320" t="str">
        <f>IF((world_cup_matches9[[#This Row],[StageOrder]]&gt;=7),"High Pressure","Low Pressure")</f>
        <v>Low Pressure</v>
      </c>
      <c r="G320" t="s">
        <v>23</v>
      </c>
      <c r="H320">
        <v>1</v>
      </c>
      <c r="I320">
        <v>1</v>
      </c>
      <c r="J320" t="s">
        <v>62</v>
      </c>
      <c r="K320">
        <f>world_cup_matches9[[#This Row],[Home Goals]]+world_cup_matches9[[#This Row],[Away Goals]]</f>
        <v>2</v>
      </c>
      <c r="L320" t="s">
        <v>132</v>
      </c>
      <c r="M3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0" t="b">
        <v>0</v>
      </c>
    </row>
    <row r="321" spans="1:14" x14ac:dyDescent="0.3">
      <c r="A321">
        <v>496</v>
      </c>
      <c r="B321">
        <v>1994</v>
      </c>
      <c r="C321" s="2">
        <v>34513</v>
      </c>
      <c r="D321" s="3" cm="1">
        <f t="array" ref="D3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1" t="s">
        <v>38</v>
      </c>
      <c r="F321" t="str">
        <f>IF((world_cup_matches9[[#This Row],[StageOrder]]&gt;=7),"High Pressure","Low Pressure")</f>
        <v>Low Pressure</v>
      </c>
      <c r="G321" t="s">
        <v>54</v>
      </c>
      <c r="H321">
        <v>6</v>
      </c>
      <c r="I321">
        <v>1</v>
      </c>
      <c r="J321" t="s">
        <v>26</v>
      </c>
      <c r="K321">
        <f>world_cup_matches9[[#This Row],[Home Goals]]+world_cup_matches9[[#This Row],[Away Goals]]</f>
        <v>7</v>
      </c>
      <c r="L321" t="s">
        <v>132</v>
      </c>
      <c r="M3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1" t="b">
        <v>0</v>
      </c>
    </row>
    <row r="322" spans="1:14" x14ac:dyDescent="0.3">
      <c r="A322">
        <v>497</v>
      </c>
      <c r="B322">
        <v>1994</v>
      </c>
      <c r="C322" s="2">
        <v>34514</v>
      </c>
      <c r="D322" s="3" cm="1">
        <f t="array" ref="D3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2" t="s">
        <v>38</v>
      </c>
      <c r="F322" t="str">
        <f>IF((world_cup_matches9[[#This Row],[StageOrder]]&gt;=7),"High Pressure","Low Pressure")</f>
        <v>Low Pressure</v>
      </c>
      <c r="G322" t="s">
        <v>21</v>
      </c>
      <c r="H322">
        <v>1</v>
      </c>
      <c r="I322">
        <v>2</v>
      </c>
      <c r="J322" t="s">
        <v>2</v>
      </c>
      <c r="K322">
        <f>world_cup_matches9[[#This Row],[Home Goals]]+world_cup_matches9[[#This Row],[Away Goals]]</f>
        <v>3</v>
      </c>
      <c r="L322" t="s">
        <v>132</v>
      </c>
      <c r="M3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2" t="b">
        <v>0</v>
      </c>
    </row>
    <row r="323" spans="1:14" x14ac:dyDescent="0.3">
      <c r="A323">
        <v>498</v>
      </c>
      <c r="B323">
        <v>1994</v>
      </c>
      <c r="C323" s="2">
        <v>34514</v>
      </c>
      <c r="D323" s="3" cm="1">
        <f t="array" ref="D3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3" t="s">
        <v>38</v>
      </c>
      <c r="F323" t="str">
        <f>IF((world_cup_matches9[[#This Row],[StageOrder]]&gt;=7),"High Pressure","Low Pressure")</f>
        <v>Low Pressure</v>
      </c>
      <c r="G323" t="s">
        <v>19</v>
      </c>
      <c r="H323">
        <v>0</v>
      </c>
      <c r="I323">
        <v>1</v>
      </c>
      <c r="J323" t="s">
        <v>8</v>
      </c>
      <c r="K323">
        <f>world_cup_matches9[[#This Row],[Home Goals]]+world_cup_matches9[[#This Row],[Away Goals]]</f>
        <v>1</v>
      </c>
      <c r="L323" t="s">
        <v>132</v>
      </c>
      <c r="M3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3" t="b">
        <v>0</v>
      </c>
    </row>
    <row r="324" spans="1:14" x14ac:dyDescent="0.3">
      <c r="A324">
        <v>499</v>
      </c>
      <c r="B324">
        <v>1994</v>
      </c>
      <c r="C324" s="2">
        <v>34515</v>
      </c>
      <c r="D324" s="3" cm="1">
        <f t="array" ref="D3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4" t="s">
        <v>38</v>
      </c>
      <c r="F324" t="str">
        <f>IF((world_cup_matches9[[#This Row],[StageOrder]]&gt;=7),"High Pressure","Low Pressure")</f>
        <v>Low Pressure</v>
      </c>
      <c r="G324" t="s">
        <v>47</v>
      </c>
      <c r="H324">
        <v>0</v>
      </c>
      <c r="I324">
        <v>2</v>
      </c>
      <c r="J324" t="s">
        <v>82</v>
      </c>
      <c r="K324">
        <f>world_cup_matches9[[#This Row],[Home Goals]]+world_cup_matches9[[#This Row],[Away Goals]]</f>
        <v>2</v>
      </c>
      <c r="L324" t="s">
        <v>132</v>
      </c>
      <c r="M3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4" t="b">
        <v>0</v>
      </c>
    </row>
    <row r="325" spans="1:14" x14ac:dyDescent="0.3">
      <c r="A325">
        <v>500</v>
      </c>
      <c r="B325">
        <v>1994</v>
      </c>
      <c r="C325" s="2">
        <v>34515</v>
      </c>
      <c r="D325" s="3" cm="1">
        <f t="array" ref="D3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5" t="s">
        <v>38</v>
      </c>
      <c r="F325" t="str">
        <f>IF((world_cup_matches9[[#This Row],[StageOrder]]&gt;=7),"High Pressure","Low Pressure")</f>
        <v>Low Pressure</v>
      </c>
      <c r="G325" t="s">
        <v>7</v>
      </c>
      <c r="H325">
        <v>0</v>
      </c>
      <c r="I325">
        <v>2</v>
      </c>
      <c r="J325" t="s">
        <v>74</v>
      </c>
      <c r="K325">
        <f>world_cup_matches9[[#This Row],[Home Goals]]+world_cup_matches9[[#This Row],[Away Goals]]</f>
        <v>2</v>
      </c>
      <c r="L325" t="s">
        <v>132</v>
      </c>
      <c r="M3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5" t="b">
        <v>0</v>
      </c>
    </row>
    <row r="326" spans="1:14" x14ac:dyDescent="0.3">
      <c r="A326">
        <v>517</v>
      </c>
      <c r="B326">
        <v>1998</v>
      </c>
      <c r="C326" s="2">
        <v>35956</v>
      </c>
      <c r="D326" s="3" cm="1">
        <f t="array" ref="D3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6" t="s">
        <v>38</v>
      </c>
      <c r="F326" t="str">
        <f>IF((world_cup_matches9[[#This Row],[StageOrder]]&gt;=7),"High Pressure","Low Pressure")</f>
        <v>Low Pressure</v>
      </c>
      <c r="G326" t="s">
        <v>23</v>
      </c>
      <c r="H326">
        <v>2</v>
      </c>
      <c r="I326">
        <v>1</v>
      </c>
      <c r="J326" t="s">
        <v>49</v>
      </c>
      <c r="K326">
        <f>world_cup_matches9[[#This Row],[Home Goals]]+world_cup_matches9[[#This Row],[Away Goals]]</f>
        <v>3</v>
      </c>
      <c r="L326" t="s">
        <v>132</v>
      </c>
      <c r="M3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6" t="b">
        <v>0</v>
      </c>
    </row>
    <row r="327" spans="1:14" x14ac:dyDescent="0.3">
      <c r="A327">
        <v>518</v>
      </c>
      <c r="B327">
        <v>1998</v>
      </c>
      <c r="C327" s="2">
        <v>35956</v>
      </c>
      <c r="D327" s="3" cm="1">
        <f t="array" ref="D3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7" t="s">
        <v>38</v>
      </c>
      <c r="F327" t="str">
        <f>IF((world_cup_matches9[[#This Row],[StageOrder]]&gt;=7),"High Pressure","Low Pressure")</f>
        <v>Low Pressure</v>
      </c>
      <c r="G327" t="s">
        <v>21</v>
      </c>
      <c r="H327">
        <v>2</v>
      </c>
      <c r="I327">
        <v>2</v>
      </c>
      <c r="J327" t="s">
        <v>64</v>
      </c>
      <c r="K327">
        <f>world_cup_matches9[[#This Row],[Home Goals]]+world_cup_matches9[[#This Row],[Away Goals]]</f>
        <v>4</v>
      </c>
      <c r="L327" t="s">
        <v>132</v>
      </c>
      <c r="M3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7" t="b">
        <v>0</v>
      </c>
    </row>
    <row r="328" spans="1:14" x14ac:dyDescent="0.3">
      <c r="A328">
        <v>519</v>
      </c>
      <c r="B328">
        <v>1998</v>
      </c>
      <c r="C328" s="2">
        <v>35957</v>
      </c>
      <c r="D328" s="3" cm="1">
        <f t="array" ref="D3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8" t="s">
        <v>38</v>
      </c>
      <c r="F328" t="str">
        <f>IF((world_cup_matches9[[#This Row],[StageOrder]]&gt;=7),"High Pressure","Low Pressure")</f>
        <v>Low Pressure</v>
      </c>
      <c r="G328" t="s">
        <v>46</v>
      </c>
      <c r="H328">
        <v>2</v>
      </c>
      <c r="I328">
        <v>2</v>
      </c>
      <c r="J328" t="s">
        <v>63</v>
      </c>
      <c r="K328">
        <f>world_cup_matches9[[#This Row],[Home Goals]]+world_cup_matches9[[#This Row],[Away Goals]]</f>
        <v>4</v>
      </c>
      <c r="L328" t="s">
        <v>132</v>
      </c>
      <c r="M3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8" t="b">
        <v>0</v>
      </c>
    </row>
    <row r="329" spans="1:14" x14ac:dyDescent="0.3">
      <c r="A329">
        <v>520</v>
      </c>
      <c r="B329">
        <v>1998</v>
      </c>
      <c r="C329" s="2">
        <v>35957</v>
      </c>
      <c r="D329" s="3" cm="1">
        <f t="array" ref="D3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29" t="s">
        <v>38</v>
      </c>
      <c r="F329" t="str">
        <f>IF((world_cup_matches9[[#This Row],[StageOrder]]&gt;=7),"High Pressure","Low Pressure")</f>
        <v>Low Pressure</v>
      </c>
      <c r="G329" t="s">
        <v>26</v>
      </c>
      <c r="H329">
        <v>1</v>
      </c>
      <c r="I329">
        <v>1</v>
      </c>
      <c r="J329" t="s">
        <v>55</v>
      </c>
      <c r="K329">
        <f>world_cup_matches9[[#This Row],[Home Goals]]+world_cup_matches9[[#This Row],[Away Goals]]</f>
        <v>2</v>
      </c>
      <c r="L329" t="s">
        <v>132</v>
      </c>
      <c r="M3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29" t="b">
        <v>0</v>
      </c>
    </row>
    <row r="330" spans="1:14" x14ac:dyDescent="0.3">
      <c r="A330">
        <v>521</v>
      </c>
      <c r="B330">
        <v>1998</v>
      </c>
      <c r="C330" s="2">
        <v>35958</v>
      </c>
      <c r="D330" s="3" cm="1">
        <f t="array" ref="D3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0" t="s">
        <v>38</v>
      </c>
      <c r="F330" t="str">
        <f>IF((world_cup_matches9[[#This Row],[StageOrder]]&gt;=7),"High Pressure","Low Pressure")</f>
        <v>Low Pressure</v>
      </c>
      <c r="G330" t="s">
        <v>65</v>
      </c>
      <c r="H330">
        <v>0</v>
      </c>
      <c r="I330">
        <v>0</v>
      </c>
      <c r="J330" t="s">
        <v>74</v>
      </c>
      <c r="K330">
        <f>world_cup_matches9[[#This Row],[Home Goals]]+world_cup_matches9[[#This Row],[Away Goals]]</f>
        <v>0</v>
      </c>
      <c r="L330" t="s">
        <v>132</v>
      </c>
      <c r="M3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0" t="b">
        <v>0</v>
      </c>
    </row>
    <row r="331" spans="1:14" x14ac:dyDescent="0.3">
      <c r="A331">
        <v>522</v>
      </c>
      <c r="B331">
        <v>1998</v>
      </c>
      <c r="C331" s="2">
        <v>35958</v>
      </c>
      <c r="D331" s="3" cm="1">
        <f t="array" ref="D3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1" t="s">
        <v>38</v>
      </c>
      <c r="F331" t="str">
        <f>IF((world_cup_matches9[[#This Row],[StageOrder]]&gt;=7),"High Pressure","Low Pressure")</f>
        <v>Low Pressure</v>
      </c>
      <c r="G331" t="s">
        <v>8</v>
      </c>
      <c r="H331">
        <v>0</v>
      </c>
      <c r="I331">
        <v>1</v>
      </c>
      <c r="J331" t="s">
        <v>13</v>
      </c>
      <c r="K331">
        <f>world_cup_matches9[[#This Row],[Home Goals]]+world_cup_matches9[[#This Row],[Away Goals]]</f>
        <v>1</v>
      </c>
      <c r="L331" t="s">
        <v>132</v>
      </c>
      <c r="M3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1" t="b">
        <v>0</v>
      </c>
    </row>
    <row r="332" spans="1:14" x14ac:dyDescent="0.3">
      <c r="A332">
        <v>523</v>
      </c>
      <c r="B332">
        <v>1998</v>
      </c>
      <c r="C332" s="2">
        <v>35958</v>
      </c>
      <c r="D332" s="3" cm="1">
        <f t="array" ref="D3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2" t="s">
        <v>38</v>
      </c>
      <c r="F332" t="str">
        <f>IF((world_cup_matches9[[#This Row],[StageOrder]]&gt;=7),"High Pressure","Low Pressure")</f>
        <v>Low Pressure</v>
      </c>
      <c r="G332" t="s">
        <v>11</v>
      </c>
      <c r="H332">
        <v>3</v>
      </c>
      <c r="I332">
        <v>0</v>
      </c>
      <c r="J332" t="s">
        <v>70</v>
      </c>
      <c r="K332">
        <f>world_cup_matches9[[#This Row],[Home Goals]]+world_cup_matches9[[#This Row],[Away Goals]]</f>
        <v>3</v>
      </c>
      <c r="L332" t="s">
        <v>132</v>
      </c>
      <c r="M3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2" t="b">
        <v>1</v>
      </c>
    </row>
    <row r="333" spans="1:14" x14ac:dyDescent="0.3">
      <c r="A333">
        <v>524</v>
      </c>
      <c r="B333">
        <v>1998</v>
      </c>
      <c r="C333" s="2">
        <v>35959</v>
      </c>
      <c r="D333" s="3" cm="1">
        <f t="array" ref="D3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3" t="s">
        <v>38</v>
      </c>
      <c r="F333" t="str">
        <f>IF((world_cup_matches9[[#This Row],[StageOrder]]&gt;=7),"High Pressure","Low Pressure")</f>
        <v>Low Pressure</v>
      </c>
      <c r="G333" t="s">
        <v>15</v>
      </c>
      <c r="H333">
        <v>2</v>
      </c>
      <c r="I333">
        <v>3</v>
      </c>
      <c r="J333" t="s">
        <v>82</v>
      </c>
      <c r="K333">
        <f>world_cup_matches9[[#This Row],[Home Goals]]+world_cup_matches9[[#This Row],[Away Goals]]</f>
        <v>5</v>
      </c>
      <c r="L333" t="s">
        <v>132</v>
      </c>
      <c r="M3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3" t="b">
        <v>0</v>
      </c>
    </row>
    <row r="334" spans="1:14" x14ac:dyDescent="0.3">
      <c r="A334">
        <v>525</v>
      </c>
      <c r="B334">
        <v>1998</v>
      </c>
      <c r="C334" s="2">
        <v>35959</v>
      </c>
      <c r="D334" s="3" cm="1">
        <f t="array" ref="D3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4" t="s">
        <v>38</v>
      </c>
      <c r="F334" t="str">
        <f>IF((world_cup_matches9[[#This Row],[StageOrder]]&gt;=7),"High Pressure","Low Pressure")</f>
        <v>Low Pressure</v>
      </c>
      <c r="G334" t="s">
        <v>30</v>
      </c>
      <c r="H334">
        <v>1</v>
      </c>
      <c r="I334">
        <v>3</v>
      </c>
      <c r="J334" t="s">
        <v>9</v>
      </c>
      <c r="K334">
        <f>world_cup_matches9[[#This Row],[Home Goals]]+world_cup_matches9[[#This Row],[Away Goals]]</f>
        <v>4</v>
      </c>
      <c r="L334" t="s">
        <v>132</v>
      </c>
      <c r="M3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4" t="b">
        <v>0</v>
      </c>
    </row>
    <row r="335" spans="1:14" x14ac:dyDescent="0.3">
      <c r="A335">
        <v>526</v>
      </c>
      <c r="B335">
        <v>1998</v>
      </c>
      <c r="C335" s="2">
        <v>35959</v>
      </c>
      <c r="D335" s="3" cm="1">
        <f t="array" ref="D3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5" t="s">
        <v>38</v>
      </c>
      <c r="F335" t="str">
        <f>IF((world_cup_matches9[[#This Row],[StageOrder]]&gt;=7),"High Pressure","Low Pressure")</f>
        <v>Low Pressure</v>
      </c>
      <c r="G335" t="s">
        <v>2</v>
      </c>
      <c r="H335">
        <v>0</v>
      </c>
      <c r="I335">
        <v>0</v>
      </c>
      <c r="J335" t="s">
        <v>19</v>
      </c>
      <c r="K335">
        <f>world_cup_matches9[[#This Row],[Home Goals]]+world_cup_matches9[[#This Row],[Away Goals]]</f>
        <v>0</v>
      </c>
      <c r="L335" t="s">
        <v>132</v>
      </c>
      <c r="M3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5" t="b">
        <v>0</v>
      </c>
    </row>
    <row r="336" spans="1:14" x14ac:dyDescent="0.3">
      <c r="A336">
        <v>527</v>
      </c>
      <c r="B336">
        <v>1998</v>
      </c>
      <c r="C336" s="2">
        <v>35960</v>
      </c>
      <c r="D336" s="3" cm="1">
        <f t="array" ref="D3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6" t="s">
        <v>38</v>
      </c>
      <c r="F336" t="str">
        <f>IF((world_cup_matches9[[#This Row],[StageOrder]]&gt;=7),"High Pressure","Low Pressure")</f>
        <v>Low Pressure</v>
      </c>
      <c r="G336" t="s">
        <v>7</v>
      </c>
      <c r="H336">
        <v>1</v>
      </c>
      <c r="I336">
        <v>0</v>
      </c>
      <c r="J336" t="s">
        <v>18</v>
      </c>
      <c r="K336">
        <f>world_cup_matches9[[#This Row],[Home Goals]]+world_cup_matches9[[#This Row],[Away Goals]]</f>
        <v>1</v>
      </c>
      <c r="L336" t="s">
        <v>132</v>
      </c>
      <c r="M3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6" t="b">
        <v>0</v>
      </c>
    </row>
    <row r="337" spans="1:14" x14ac:dyDescent="0.3">
      <c r="A337">
        <v>528</v>
      </c>
      <c r="B337">
        <v>1998</v>
      </c>
      <c r="C337" s="2">
        <v>35960</v>
      </c>
      <c r="D337" s="3" cm="1">
        <f t="array" ref="D3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7" t="s">
        <v>38</v>
      </c>
      <c r="F337" t="str">
        <f>IF((world_cup_matches9[[#This Row],[StageOrder]]&gt;=7),"High Pressure","Low Pressure")</f>
        <v>Low Pressure</v>
      </c>
      <c r="G337" t="s">
        <v>69</v>
      </c>
      <c r="H337">
        <v>1</v>
      </c>
      <c r="I337">
        <v>0</v>
      </c>
      <c r="J337" t="s">
        <v>4</v>
      </c>
      <c r="K337">
        <f>world_cup_matches9[[#This Row],[Home Goals]]+world_cup_matches9[[#This Row],[Away Goals]]</f>
        <v>1</v>
      </c>
      <c r="L337" t="s">
        <v>132</v>
      </c>
      <c r="M3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7" t="b">
        <v>0</v>
      </c>
    </row>
    <row r="338" spans="1:14" x14ac:dyDescent="0.3">
      <c r="A338">
        <v>529</v>
      </c>
      <c r="B338">
        <v>1998</v>
      </c>
      <c r="C338" s="2">
        <v>35960</v>
      </c>
      <c r="D338" s="3" cm="1">
        <f t="array" ref="D3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8" t="s">
        <v>38</v>
      </c>
      <c r="F338" t="str">
        <f>IF((world_cup_matches9[[#This Row],[StageOrder]]&gt;=7),"High Pressure","Low Pressure")</f>
        <v>Low Pressure</v>
      </c>
      <c r="G338" t="s">
        <v>87</v>
      </c>
      <c r="H338">
        <v>1</v>
      </c>
      <c r="I338">
        <v>3</v>
      </c>
      <c r="J338" t="s">
        <v>22</v>
      </c>
      <c r="K338">
        <f>world_cup_matches9[[#This Row],[Home Goals]]+world_cup_matches9[[#This Row],[Away Goals]]</f>
        <v>4</v>
      </c>
      <c r="L338" t="s">
        <v>132</v>
      </c>
      <c r="M3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8" t="b">
        <v>0</v>
      </c>
    </row>
    <row r="339" spans="1:14" x14ac:dyDescent="0.3">
      <c r="A339">
        <v>530</v>
      </c>
      <c r="B339">
        <v>1998</v>
      </c>
      <c r="C339" s="2">
        <v>35961</v>
      </c>
      <c r="D339" s="3" cm="1">
        <f t="array" ref="D3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39" t="s">
        <v>38</v>
      </c>
      <c r="F339" t="str">
        <f>IF((world_cup_matches9[[#This Row],[StageOrder]]&gt;=7),"High Pressure","Low Pressure")</f>
        <v>Low Pressure</v>
      </c>
      <c r="G339" t="s">
        <v>3</v>
      </c>
      <c r="H339">
        <v>2</v>
      </c>
      <c r="I339">
        <v>0</v>
      </c>
      <c r="J339" t="s">
        <v>14</v>
      </c>
      <c r="K339">
        <f>world_cup_matches9[[#This Row],[Home Goals]]+world_cup_matches9[[#This Row],[Away Goals]]</f>
        <v>2</v>
      </c>
      <c r="L339" t="s">
        <v>132</v>
      </c>
      <c r="M3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39" t="b">
        <v>0</v>
      </c>
    </row>
    <row r="340" spans="1:14" x14ac:dyDescent="0.3">
      <c r="A340">
        <v>531</v>
      </c>
      <c r="B340">
        <v>1998</v>
      </c>
      <c r="C340" s="2">
        <v>35961</v>
      </c>
      <c r="D340" s="3" cm="1">
        <f t="array" ref="D3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0" t="s">
        <v>38</v>
      </c>
      <c r="F340" t="str">
        <f>IF((world_cup_matches9[[#This Row],[StageOrder]]&gt;=7),"High Pressure","Low Pressure")</f>
        <v>Low Pressure</v>
      </c>
      <c r="G340" t="s">
        <v>68</v>
      </c>
      <c r="H340">
        <v>1</v>
      </c>
      <c r="I340">
        <v>0</v>
      </c>
      <c r="J340" t="s">
        <v>53</v>
      </c>
      <c r="K340">
        <f>world_cup_matches9[[#This Row],[Home Goals]]+world_cup_matches9[[#This Row],[Away Goals]]</f>
        <v>1</v>
      </c>
      <c r="L340" t="s">
        <v>132</v>
      </c>
      <c r="M3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0" t="b">
        <v>0</v>
      </c>
    </row>
    <row r="341" spans="1:14" x14ac:dyDescent="0.3">
      <c r="A341">
        <v>532</v>
      </c>
      <c r="B341">
        <v>1998</v>
      </c>
      <c r="C341" s="2">
        <v>35961</v>
      </c>
      <c r="D341" s="3" cm="1">
        <f t="array" ref="D3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1" t="s">
        <v>38</v>
      </c>
      <c r="F341" t="str">
        <f>IF((world_cup_matches9[[#This Row],[StageOrder]]&gt;=7),"High Pressure","Low Pressure")</f>
        <v>Low Pressure</v>
      </c>
      <c r="G341" t="s">
        <v>17</v>
      </c>
      <c r="H341">
        <v>2</v>
      </c>
      <c r="I341">
        <v>0</v>
      </c>
      <c r="J341" t="s">
        <v>5</v>
      </c>
      <c r="K341">
        <f>world_cup_matches9[[#This Row],[Home Goals]]+world_cup_matches9[[#This Row],[Away Goals]]</f>
        <v>2</v>
      </c>
      <c r="L341" t="s">
        <v>132</v>
      </c>
      <c r="M3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1" t="b">
        <v>0</v>
      </c>
    </row>
    <row r="342" spans="1:14" x14ac:dyDescent="0.3">
      <c r="A342">
        <v>533</v>
      </c>
      <c r="B342">
        <v>1998</v>
      </c>
      <c r="C342" s="2">
        <v>35962</v>
      </c>
      <c r="D342" s="3" cm="1">
        <f t="array" ref="D3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2" t="s">
        <v>38</v>
      </c>
      <c r="F342" t="str">
        <f>IF((world_cup_matches9[[#This Row],[StageOrder]]&gt;=7),"High Pressure","Low Pressure")</f>
        <v>Low Pressure</v>
      </c>
      <c r="G342" t="s">
        <v>49</v>
      </c>
      <c r="H342">
        <v>1</v>
      </c>
      <c r="I342">
        <v>1</v>
      </c>
      <c r="J342" t="s">
        <v>64</v>
      </c>
      <c r="K342">
        <f>world_cup_matches9[[#This Row],[Home Goals]]+world_cup_matches9[[#This Row],[Away Goals]]</f>
        <v>2</v>
      </c>
      <c r="L342" t="s">
        <v>132</v>
      </c>
      <c r="M3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2" t="b">
        <v>0</v>
      </c>
    </row>
    <row r="343" spans="1:14" x14ac:dyDescent="0.3">
      <c r="A343">
        <v>534</v>
      </c>
      <c r="B343">
        <v>1998</v>
      </c>
      <c r="C343" s="2">
        <v>35962</v>
      </c>
      <c r="D343" s="3" cm="1">
        <f t="array" ref="D3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3" t="s">
        <v>38</v>
      </c>
      <c r="F343" t="str">
        <f>IF((world_cup_matches9[[#This Row],[StageOrder]]&gt;=7),"High Pressure","Low Pressure")</f>
        <v>Low Pressure</v>
      </c>
      <c r="G343" t="s">
        <v>23</v>
      </c>
      <c r="H343">
        <v>3</v>
      </c>
      <c r="I343">
        <v>0</v>
      </c>
      <c r="J343" t="s">
        <v>21</v>
      </c>
      <c r="K343">
        <f>world_cup_matches9[[#This Row],[Home Goals]]+world_cup_matches9[[#This Row],[Away Goals]]</f>
        <v>3</v>
      </c>
      <c r="L343" t="s">
        <v>132</v>
      </c>
      <c r="M3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3" t="b">
        <v>0</v>
      </c>
    </row>
    <row r="344" spans="1:14" x14ac:dyDescent="0.3">
      <c r="A344">
        <v>535</v>
      </c>
      <c r="B344">
        <v>1998</v>
      </c>
      <c r="C344" s="2">
        <v>35963</v>
      </c>
      <c r="D344" s="3" cm="1">
        <f t="array" ref="D3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4" t="s">
        <v>38</v>
      </c>
      <c r="F344" t="str">
        <f>IF((world_cup_matches9[[#This Row],[StageOrder]]&gt;=7),"High Pressure","Low Pressure")</f>
        <v>Low Pressure</v>
      </c>
      <c r="G344" t="s">
        <v>63</v>
      </c>
      <c r="H344">
        <v>1</v>
      </c>
      <c r="I344">
        <v>1</v>
      </c>
      <c r="J344" t="s">
        <v>55</v>
      </c>
      <c r="K344">
        <f>world_cup_matches9[[#This Row],[Home Goals]]+world_cup_matches9[[#This Row],[Away Goals]]</f>
        <v>2</v>
      </c>
      <c r="L344" t="s">
        <v>132</v>
      </c>
      <c r="M3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4" t="b">
        <v>0</v>
      </c>
    </row>
    <row r="345" spans="1:14" x14ac:dyDescent="0.3">
      <c r="A345">
        <v>536</v>
      </c>
      <c r="B345">
        <v>1998</v>
      </c>
      <c r="C345" s="2">
        <v>35963</v>
      </c>
      <c r="D345" s="3" cm="1">
        <f t="array" ref="D3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5" t="s">
        <v>38</v>
      </c>
      <c r="F345" t="str">
        <f>IF((world_cup_matches9[[#This Row],[StageOrder]]&gt;=7),"High Pressure","Low Pressure")</f>
        <v>Low Pressure</v>
      </c>
      <c r="G345" t="s">
        <v>46</v>
      </c>
      <c r="H345">
        <v>3</v>
      </c>
      <c r="I345">
        <v>0</v>
      </c>
      <c r="J345" t="s">
        <v>26</v>
      </c>
      <c r="K345">
        <f>world_cup_matches9[[#This Row],[Home Goals]]+world_cup_matches9[[#This Row],[Away Goals]]</f>
        <v>3</v>
      </c>
      <c r="L345" t="s">
        <v>132</v>
      </c>
      <c r="M3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5" t="b">
        <v>0</v>
      </c>
    </row>
    <row r="346" spans="1:14" x14ac:dyDescent="0.3">
      <c r="A346">
        <v>537</v>
      </c>
      <c r="B346">
        <v>1998</v>
      </c>
      <c r="C346" s="2">
        <v>35964</v>
      </c>
      <c r="D346" s="3" cm="1">
        <f t="array" ref="D3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6" t="s">
        <v>38</v>
      </c>
      <c r="F346" t="str">
        <f>IF((world_cup_matches9[[#This Row],[StageOrder]]&gt;=7),"High Pressure","Low Pressure")</f>
        <v>Low Pressure</v>
      </c>
      <c r="G346" t="s">
        <v>70</v>
      </c>
      <c r="H346">
        <v>1</v>
      </c>
      <c r="I346">
        <v>1</v>
      </c>
      <c r="J346" t="s">
        <v>13</v>
      </c>
      <c r="K346">
        <f>world_cup_matches9[[#This Row],[Home Goals]]+world_cup_matches9[[#This Row],[Away Goals]]</f>
        <v>2</v>
      </c>
      <c r="L346" t="s">
        <v>132</v>
      </c>
      <c r="M3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6" t="b">
        <v>0</v>
      </c>
    </row>
    <row r="347" spans="1:14" x14ac:dyDescent="0.3">
      <c r="A347">
        <v>538</v>
      </c>
      <c r="B347">
        <v>1998</v>
      </c>
      <c r="C347" s="2">
        <v>35964</v>
      </c>
      <c r="D347" s="3" cm="1">
        <f t="array" ref="D3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7" t="s">
        <v>38</v>
      </c>
      <c r="F347" t="str">
        <f>IF((world_cup_matches9[[#This Row],[StageOrder]]&gt;=7),"High Pressure","Low Pressure")</f>
        <v>Low Pressure</v>
      </c>
      <c r="G347" t="s">
        <v>11</v>
      </c>
      <c r="H347">
        <v>4</v>
      </c>
      <c r="I347">
        <v>0</v>
      </c>
      <c r="J347" t="s">
        <v>8</v>
      </c>
      <c r="K347">
        <f>world_cup_matches9[[#This Row],[Home Goals]]+world_cup_matches9[[#This Row],[Away Goals]]</f>
        <v>4</v>
      </c>
      <c r="L347" t="s">
        <v>132</v>
      </c>
      <c r="M3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7" t="b">
        <v>1</v>
      </c>
    </row>
    <row r="348" spans="1:14" x14ac:dyDescent="0.3">
      <c r="A348">
        <v>539</v>
      </c>
      <c r="B348">
        <v>1998</v>
      </c>
      <c r="C348" s="2">
        <v>35965</v>
      </c>
      <c r="D348" s="3" cm="1">
        <f t="array" ref="D3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8" t="s">
        <v>38</v>
      </c>
      <c r="F348" t="str">
        <f>IF((world_cup_matches9[[#This Row],[StageOrder]]&gt;=7),"High Pressure","Low Pressure")</f>
        <v>Low Pressure</v>
      </c>
      <c r="G348" t="s">
        <v>82</v>
      </c>
      <c r="H348">
        <v>1</v>
      </c>
      <c r="I348">
        <v>0</v>
      </c>
      <c r="J348" t="s">
        <v>74</v>
      </c>
      <c r="K348">
        <f>world_cup_matches9[[#This Row],[Home Goals]]+world_cup_matches9[[#This Row],[Away Goals]]</f>
        <v>1</v>
      </c>
      <c r="L348" t="s">
        <v>132</v>
      </c>
      <c r="M3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8" t="b">
        <v>0</v>
      </c>
    </row>
    <row r="349" spans="1:14" x14ac:dyDescent="0.3">
      <c r="A349">
        <v>540</v>
      </c>
      <c r="B349">
        <v>1998</v>
      </c>
      <c r="C349" s="2">
        <v>35965</v>
      </c>
      <c r="D349" s="3" cm="1">
        <f t="array" ref="D3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49" t="s">
        <v>38</v>
      </c>
      <c r="F349" t="str">
        <f>IF((world_cup_matches9[[#This Row],[StageOrder]]&gt;=7),"High Pressure","Low Pressure")</f>
        <v>Low Pressure</v>
      </c>
      <c r="G349" t="s">
        <v>15</v>
      </c>
      <c r="H349">
        <v>0</v>
      </c>
      <c r="I349">
        <v>0</v>
      </c>
      <c r="J349" t="s">
        <v>65</v>
      </c>
      <c r="K349">
        <f>world_cup_matches9[[#This Row],[Home Goals]]+world_cup_matches9[[#This Row],[Away Goals]]</f>
        <v>0</v>
      </c>
      <c r="L349" t="s">
        <v>132</v>
      </c>
      <c r="M3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49" t="b">
        <v>0</v>
      </c>
    </row>
    <row r="350" spans="1:14" x14ac:dyDescent="0.3">
      <c r="A350">
        <v>541</v>
      </c>
      <c r="B350">
        <v>1998</v>
      </c>
      <c r="C350" s="2">
        <v>35966</v>
      </c>
      <c r="D350" s="3" cm="1">
        <f t="array" ref="D3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0" t="s">
        <v>38</v>
      </c>
      <c r="F350" t="str">
        <f>IF((world_cup_matches9[[#This Row],[StageOrder]]&gt;=7),"High Pressure","Low Pressure")</f>
        <v>Low Pressure</v>
      </c>
      <c r="G350" t="s">
        <v>18</v>
      </c>
      <c r="H350">
        <v>0</v>
      </c>
      <c r="I350">
        <v>1</v>
      </c>
      <c r="J350" t="s">
        <v>22</v>
      </c>
      <c r="K350">
        <f>world_cup_matches9[[#This Row],[Home Goals]]+world_cup_matches9[[#This Row],[Away Goals]]</f>
        <v>1</v>
      </c>
      <c r="L350" t="s">
        <v>132</v>
      </c>
      <c r="M3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0" t="b">
        <v>0</v>
      </c>
    </row>
    <row r="351" spans="1:14" x14ac:dyDescent="0.3">
      <c r="A351">
        <v>542</v>
      </c>
      <c r="B351">
        <v>1998</v>
      </c>
      <c r="C351" s="2">
        <v>35966</v>
      </c>
      <c r="D351" s="3" cm="1">
        <f t="array" ref="D3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1" t="s">
        <v>38</v>
      </c>
      <c r="F351" t="str">
        <f>IF((world_cup_matches9[[#This Row],[StageOrder]]&gt;=7),"High Pressure","Low Pressure")</f>
        <v>Low Pressure</v>
      </c>
      <c r="G351" t="s">
        <v>19</v>
      </c>
      <c r="H351">
        <v>2</v>
      </c>
      <c r="I351">
        <v>2</v>
      </c>
      <c r="J351" t="s">
        <v>9</v>
      </c>
      <c r="K351">
        <f>world_cup_matches9[[#This Row],[Home Goals]]+world_cup_matches9[[#This Row],[Away Goals]]</f>
        <v>4</v>
      </c>
      <c r="L351" t="s">
        <v>132</v>
      </c>
      <c r="M3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1" t="b">
        <v>0</v>
      </c>
    </row>
    <row r="352" spans="1:14" x14ac:dyDescent="0.3">
      <c r="A352">
        <v>543</v>
      </c>
      <c r="B352">
        <v>1998</v>
      </c>
      <c r="C352" s="2">
        <v>35966</v>
      </c>
      <c r="D352" s="3" cm="1">
        <f t="array" ref="D3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2" t="s">
        <v>38</v>
      </c>
      <c r="F352" t="str">
        <f>IF((world_cup_matches9[[#This Row],[StageOrder]]&gt;=7),"High Pressure","Low Pressure")</f>
        <v>Low Pressure</v>
      </c>
      <c r="G352" t="s">
        <v>2</v>
      </c>
      <c r="H352">
        <v>5</v>
      </c>
      <c r="I352">
        <v>0</v>
      </c>
      <c r="J352" t="s">
        <v>30</v>
      </c>
      <c r="K352">
        <f>world_cup_matches9[[#This Row],[Home Goals]]+world_cup_matches9[[#This Row],[Away Goals]]</f>
        <v>5</v>
      </c>
      <c r="L352" t="s">
        <v>132</v>
      </c>
      <c r="M3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2" t="b">
        <v>0</v>
      </c>
    </row>
    <row r="353" spans="1:14" x14ac:dyDescent="0.3">
      <c r="A353">
        <v>544</v>
      </c>
      <c r="B353">
        <v>1998</v>
      </c>
      <c r="C353" s="2">
        <v>35967</v>
      </c>
      <c r="D353" s="3" cm="1">
        <f t="array" ref="D3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3" t="s">
        <v>38</v>
      </c>
      <c r="F353" t="str">
        <f>IF((world_cup_matches9[[#This Row],[StageOrder]]&gt;=7),"High Pressure","Low Pressure")</f>
        <v>Low Pressure</v>
      </c>
      <c r="G353" t="s">
        <v>17</v>
      </c>
      <c r="H353">
        <v>2</v>
      </c>
      <c r="I353">
        <v>2</v>
      </c>
      <c r="J353" t="s">
        <v>69</v>
      </c>
      <c r="K353">
        <f>world_cup_matches9[[#This Row],[Home Goals]]+world_cup_matches9[[#This Row],[Away Goals]]</f>
        <v>4</v>
      </c>
      <c r="L353" t="s">
        <v>132</v>
      </c>
      <c r="M3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3" t="b">
        <v>0</v>
      </c>
    </row>
    <row r="354" spans="1:14" x14ac:dyDescent="0.3">
      <c r="A354">
        <v>545</v>
      </c>
      <c r="B354">
        <v>1998</v>
      </c>
      <c r="C354" s="2">
        <v>35967</v>
      </c>
      <c r="D354" s="3" cm="1">
        <f t="array" ref="D3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4" t="s">
        <v>38</v>
      </c>
      <c r="F354" t="str">
        <f>IF((world_cup_matches9[[#This Row],[StageOrder]]&gt;=7),"High Pressure","Low Pressure")</f>
        <v>Low Pressure</v>
      </c>
      <c r="G354" t="s">
        <v>7</v>
      </c>
      <c r="H354">
        <v>5</v>
      </c>
      <c r="I354">
        <v>0</v>
      </c>
      <c r="J354" t="s">
        <v>87</v>
      </c>
      <c r="K354">
        <f>world_cup_matches9[[#This Row],[Home Goals]]+world_cup_matches9[[#This Row],[Away Goals]]</f>
        <v>5</v>
      </c>
      <c r="L354" t="s">
        <v>132</v>
      </c>
      <c r="M3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4" t="b">
        <v>0</v>
      </c>
    </row>
    <row r="355" spans="1:14" x14ac:dyDescent="0.3">
      <c r="A355">
        <v>546</v>
      </c>
      <c r="B355">
        <v>1998</v>
      </c>
      <c r="C355" s="2">
        <v>35967</v>
      </c>
      <c r="D355" s="3" cm="1">
        <f t="array" ref="D3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5" t="s">
        <v>38</v>
      </c>
      <c r="F355" t="str">
        <f>IF((world_cup_matches9[[#This Row],[StageOrder]]&gt;=7),"High Pressure","Low Pressure")</f>
        <v>Low Pressure</v>
      </c>
      <c r="G355" t="s">
        <v>5</v>
      </c>
      <c r="H355">
        <v>1</v>
      </c>
      <c r="I355">
        <v>2</v>
      </c>
      <c r="J355" t="s">
        <v>4</v>
      </c>
      <c r="K355">
        <f>world_cup_matches9[[#This Row],[Home Goals]]+world_cup_matches9[[#This Row],[Away Goals]]</f>
        <v>3</v>
      </c>
      <c r="L355" t="s">
        <v>132</v>
      </c>
      <c r="M3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5" t="b">
        <v>0</v>
      </c>
    </row>
    <row r="356" spans="1:14" x14ac:dyDescent="0.3">
      <c r="A356">
        <v>547</v>
      </c>
      <c r="B356">
        <v>1998</v>
      </c>
      <c r="C356" s="2">
        <v>35968</v>
      </c>
      <c r="D356" s="3" cm="1">
        <f t="array" ref="D3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6" t="s">
        <v>38</v>
      </c>
      <c r="F356" t="str">
        <f>IF((world_cup_matches9[[#This Row],[StageOrder]]&gt;=7),"High Pressure","Low Pressure")</f>
        <v>Low Pressure</v>
      </c>
      <c r="G356" t="s">
        <v>53</v>
      </c>
      <c r="H356">
        <v>1</v>
      </c>
      <c r="I356">
        <v>0</v>
      </c>
      <c r="J356" t="s">
        <v>14</v>
      </c>
      <c r="K356">
        <f>world_cup_matches9[[#This Row],[Home Goals]]+world_cup_matches9[[#This Row],[Away Goals]]</f>
        <v>1</v>
      </c>
      <c r="L356" t="s">
        <v>132</v>
      </c>
      <c r="M3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6" t="b">
        <v>0</v>
      </c>
    </row>
    <row r="357" spans="1:14" x14ac:dyDescent="0.3">
      <c r="A357">
        <v>548</v>
      </c>
      <c r="B357">
        <v>1998</v>
      </c>
      <c r="C357" s="2">
        <v>35968</v>
      </c>
      <c r="D357" s="3" cm="1">
        <f t="array" ref="D3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7" t="s">
        <v>38</v>
      </c>
      <c r="F357" t="str">
        <f>IF((world_cup_matches9[[#This Row],[StageOrder]]&gt;=7),"High Pressure","Low Pressure")</f>
        <v>Low Pressure</v>
      </c>
      <c r="G357" t="s">
        <v>68</v>
      </c>
      <c r="H357">
        <v>2</v>
      </c>
      <c r="I357">
        <v>1</v>
      </c>
      <c r="J357" t="s">
        <v>3</v>
      </c>
      <c r="K357">
        <f>world_cup_matches9[[#This Row],[Home Goals]]+world_cup_matches9[[#This Row],[Away Goals]]</f>
        <v>3</v>
      </c>
      <c r="L357" t="s">
        <v>132</v>
      </c>
      <c r="M3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7" t="b">
        <v>0</v>
      </c>
    </row>
    <row r="358" spans="1:14" x14ac:dyDescent="0.3">
      <c r="A358">
        <v>549</v>
      </c>
      <c r="B358">
        <v>1998</v>
      </c>
      <c r="C358" s="2">
        <v>35969</v>
      </c>
      <c r="D358" s="3" cm="1">
        <f t="array" ref="D3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8" t="s">
        <v>38</v>
      </c>
      <c r="F358" t="str">
        <f>IF((world_cup_matches9[[#This Row],[StageOrder]]&gt;=7),"High Pressure","Low Pressure")</f>
        <v>Low Pressure</v>
      </c>
      <c r="G358" t="s">
        <v>46</v>
      </c>
      <c r="H358">
        <v>2</v>
      </c>
      <c r="I358">
        <v>1</v>
      </c>
      <c r="J358" t="s">
        <v>55</v>
      </c>
      <c r="K358">
        <f>world_cup_matches9[[#This Row],[Home Goals]]+world_cup_matches9[[#This Row],[Away Goals]]</f>
        <v>3</v>
      </c>
      <c r="L358" t="s">
        <v>132</v>
      </c>
      <c r="M3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8" t="b">
        <v>0</v>
      </c>
    </row>
    <row r="359" spans="1:14" x14ac:dyDescent="0.3">
      <c r="A359">
        <v>550</v>
      </c>
      <c r="B359">
        <v>1998</v>
      </c>
      <c r="C359" s="2">
        <v>35969</v>
      </c>
      <c r="D359" s="3" cm="1">
        <f t="array" ref="D3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59" t="s">
        <v>38</v>
      </c>
      <c r="F359" t="str">
        <f>IF((world_cup_matches9[[#This Row],[StageOrder]]&gt;=7),"High Pressure","Low Pressure")</f>
        <v>Low Pressure</v>
      </c>
      <c r="G359" t="s">
        <v>63</v>
      </c>
      <c r="H359">
        <v>1</v>
      </c>
      <c r="I359">
        <v>1</v>
      </c>
      <c r="J359" t="s">
        <v>26</v>
      </c>
      <c r="K359">
        <f>world_cup_matches9[[#This Row],[Home Goals]]+world_cup_matches9[[#This Row],[Away Goals]]</f>
        <v>2</v>
      </c>
      <c r="L359" t="s">
        <v>132</v>
      </c>
      <c r="M3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59" t="b">
        <v>0</v>
      </c>
    </row>
    <row r="360" spans="1:14" x14ac:dyDescent="0.3">
      <c r="A360">
        <v>551</v>
      </c>
      <c r="B360">
        <v>1998</v>
      </c>
      <c r="C360" s="2">
        <v>35969</v>
      </c>
      <c r="D360" s="3" cm="1">
        <f t="array" ref="D3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0" t="s">
        <v>38</v>
      </c>
      <c r="F360" t="str">
        <f>IF((world_cup_matches9[[#This Row],[StageOrder]]&gt;=7),"High Pressure","Low Pressure")</f>
        <v>Low Pressure</v>
      </c>
      <c r="G360" t="s">
        <v>49</v>
      </c>
      <c r="H360">
        <v>0</v>
      </c>
      <c r="I360">
        <v>3</v>
      </c>
      <c r="J360" t="s">
        <v>21</v>
      </c>
      <c r="K360">
        <f>world_cup_matches9[[#This Row],[Home Goals]]+world_cup_matches9[[#This Row],[Away Goals]]</f>
        <v>3</v>
      </c>
      <c r="L360" t="s">
        <v>132</v>
      </c>
      <c r="M3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0" t="b">
        <v>0</v>
      </c>
    </row>
    <row r="361" spans="1:14" x14ac:dyDescent="0.3">
      <c r="A361">
        <v>552</v>
      </c>
      <c r="B361">
        <v>1998</v>
      </c>
      <c r="C361" s="2">
        <v>35969</v>
      </c>
      <c r="D361" s="3" cm="1">
        <f t="array" ref="D3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1" t="s">
        <v>38</v>
      </c>
      <c r="F361" t="str">
        <f>IF((world_cup_matches9[[#This Row],[StageOrder]]&gt;=7),"High Pressure","Low Pressure")</f>
        <v>Low Pressure</v>
      </c>
      <c r="G361" t="s">
        <v>23</v>
      </c>
      <c r="H361">
        <v>1</v>
      </c>
      <c r="I361">
        <v>2</v>
      </c>
      <c r="J361" t="s">
        <v>64</v>
      </c>
      <c r="K361">
        <f>world_cup_matches9[[#This Row],[Home Goals]]+world_cup_matches9[[#This Row],[Away Goals]]</f>
        <v>3</v>
      </c>
      <c r="L361" t="s">
        <v>132</v>
      </c>
      <c r="M3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1" t="b">
        <v>0</v>
      </c>
    </row>
    <row r="362" spans="1:14" x14ac:dyDescent="0.3">
      <c r="A362">
        <v>553</v>
      </c>
      <c r="B362">
        <v>1998</v>
      </c>
      <c r="C362" s="2">
        <v>35970</v>
      </c>
      <c r="D362" s="3" cm="1">
        <f t="array" ref="D3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2" t="s">
        <v>38</v>
      </c>
      <c r="F362" t="str">
        <f>IF((world_cup_matches9[[#This Row],[StageOrder]]&gt;=7),"High Pressure","Low Pressure")</f>
        <v>Low Pressure</v>
      </c>
      <c r="G362" t="s">
        <v>11</v>
      </c>
      <c r="H362">
        <v>2</v>
      </c>
      <c r="I362">
        <v>1</v>
      </c>
      <c r="J362" t="s">
        <v>13</v>
      </c>
      <c r="K362">
        <f>world_cup_matches9[[#This Row],[Home Goals]]+world_cup_matches9[[#This Row],[Away Goals]]</f>
        <v>3</v>
      </c>
      <c r="L362" t="s">
        <v>132</v>
      </c>
      <c r="M3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2" t="b">
        <v>1</v>
      </c>
    </row>
    <row r="363" spans="1:14" x14ac:dyDescent="0.3">
      <c r="A363">
        <v>554</v>
      </c>
      <c r="B363">
        <v>1998</v>
      </c>
      <c r="C363" s="2">
        <v>35970</v>
      </c>
      <c r="D363" s="3" cm="1">
        <f t="array" ref="D3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3" t="s">
        <v>38</v>
      </c>
      <c r="F363" t="str">
        <f>IF((world_cup_matches9[[#This Row],[StageOrder]]&gt;=7),"High Pressure","Low Pressure")</f>
        <v>Low Pressure</v>
      </c>
      <c r="G363" t="s">
        <v>70</v>
      </c>
      <c r="H363">
        <v>2</v>
      </c>
      <c r="I363">
        <v>2</v>
      </c>
      <c r="J363" t="s">
        <v>8</v>
      </c>
      <c r="K363">
        <f>world_cup_matches9[[#This Row],[Home Goals]]+world_cup_matches9[[#This Row],[Away Goals]]</f>
        <v>4</v>
      </c>
      <c r="L363" t="s">
        <v>132</v>
      </c>
      <c r="M3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3" t="b">
        <v>0</v>
      </c>
    </row>
    <row r="364" spans="1:14" x14ac:dyDescent="0.3">
      <c r="A364">
        <v>555</v>
      </c>
      <c r="B364">
        <v>1998</v>
      </c>
      <c r="C364" s="2">
        <v>35970</v>
      </c>
      <c r="D364" s="3" cm="1">
        <f t="array" ref="D3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4" t="s">
        <v>38</v>
      </c>
      <c r="F364" t="str">
        <f>IF((world_cup_matches9[[#This Row],[StageOrder]]&gt;=7),"High Pressure","Low Pressure")</f>
        <v>Low Pressure</v>
      </c>
      <c r="G364" t="s">
        <v>15</v>
      </c>
      <c r="H364">
        <v>6</v>
      </c>
      <c r="I364">
        <v>1</v>
      </c>
      <c r="J364" t="s">
        <v>74</v>
      </c>
      <c r="K364">
        <f>world_cup_matches9[[#This Row],[Home Goals]]+world_cup_matches9[[#This Row],[Away Goals]]</f>
        <v>7</v>
      </c>
      <c r="L364" t="s">
        <v>132</v>
      </c>
      <c r="M3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4" t="b">
        <v>0</v>
      </c>
    </row>
    <row r="365" spans="1:14" x14ac:dyDescent="0.3">
      <c r="A365">
        <v>556</v>
      </c>
      <c r="B365">
        <v>1998</v>
      </c>
      <c r="C365" s="2">
        <v>35970</v>
      </c>
      <c r="D365" s="3" cm="1">
        <f t="array" ref="D3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5" t="s">
        <v>38</v>
      </c>
      <c r="F365" t="str">
        <f>IF((world_cup_matches9[[#This Row],[StageOrder]]&gt;=7),"High Pressure","Low Pressure")</f>
        <v>Low Pressure</v>
      </c>
      <c r="G365" t="s">
        <v>82</v>
      </c>
      <c r="H365">
        <v>1</v>
      </c>
      <c r="I365">
        <v>3</v>
      </c>
      <c r="J365" t="s">
        <v>65</v>
      </c>
      <c r="K365">
        <f>world_cup_matches9[[#This Row],[Home Goals]]+world_cup_matches9[[#This Row],[Away Goals]]</f>
        <v>4</v>
      </c>
      <c r="L365" t="s">
        <v>132</v>
      </c>
      <c r="M3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5" t="b">
        <v>0</v>
      </c>
    </row>
    <row r="366" spans="1:14" x14ac:dyDescent="0.3">
      <c r="A366">
        <v>557</v>
      </c>
      <c r="B366">
        <v>1998</v>
      </c>
      <c r="C366" s="2">
        <v>35971</v>
      </c>
      <c r="D366" s="3" cm="1">
        <f t="array" ref="D3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6" t="s">
        <v>38</v>
      </c>
      <c r="F366" t="str">
        <f>IF((world_cup_matches9[[#This Row],[StageOrder]]&gt;=7),"High Pressure","Low Pressure")</f>
        <v>Low Pressure</v>
      </c>
      <c r="G366" t="s">
        <v>19</v>
      </c>
      <c r="H366">
        <v>1</v>
      </c>
      <c r="I366">
        <v>1</v>
      </c>
      <c r="J366" t="s">
        <v>30</v>
      </c>
      <c r="K366">
        <f>world_cup_matches9[[#This Row],[Home Goals]]+world_cup_matches9[[#This Row],[Away Goals]]</f>
        <v>2</v>
      </c>
      <c r="L366" t="s">
        <v>132</v>
      </c>
      <c r="M3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6" t="b">
        <v>0</v>
      </c>
    </row>
    <row r="367" spans="1:14" x14ac:dyDescent="0.3">
      <c r="A367">
        <v>558</v>
      </c>
      <c r="B367">
        <v>1998</v>
      </c>
      <c r="C367" s="2">
        <v>35971</v>
      </c>
      <c r="D367" s="3" cm="1">
        <f t="array" ref="D3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7" t="s">
        <v>38</v>
      </c>
      <c r="F367" t="str">
        <f>IF((world_cup_matches9[[#This Row],[StageOrder]]&gt;=7),"High Pressure","Low Pressure")</f>
        <v>Low Pressure</v>
      </c>
      <c r="G367" t="s">
        <v>2</v>
      </c>
      <c r="H367">
        <v>2</v>
      </c>
      <c r="I367">
        <v>2</v>
      </c>
      <c r="J367" t="s">
        <v>9</v>
      </c>
      <c r="K367">
        <f>world_cup_matches9[[#This Row],[Home Goals]]+world_cup_matches9[[#This Row],[Away Goals]]</f>
        <v>4</v>
      </c>
      <c r="L367" t="s">
        <v>132</v>
      </c>
      <c r="M3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7" t="b">
        <v>0</v>
      </c>
    </row>
    <row r="368" spans="1:14" x14ac:dyDescent="0.3">
      <c r="A368">
        <v>559</v>
      </c>
      <c r="B368">
        <v>1998</v>
      </c>
      <c r="C368" s="2">
        <v>35971</v>
      </c>
      <c r="D368" s="3" cm="1">
        <f t="array" ref="D3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8" t="s">
        <v>38</v>
      </c>
      <c r="F368" t="str">
        <f>IF((world_cup_matches9[[#This Row],[StageOrder]]&gt;=7),"High Pressure","Low Pressure")</f>
        <v>Low Pressure</v>
      </c>
      <c r="G368" t="s">
        <v>17</v>
      </c>
      <c r="H368">
        <v>2</v>
      </c>
      <c r="I368">
        <v>0</v>
      </c>
      <c r="J368" t="s">
        <v>4</v>
      </c>
      <c r="K368">
        <f>world_cup_matches9[[#This Row],[Home Goals]]+world_cup_matches9[[#This Row],[Away Goals]]</f>
        <v>2</v>
      </c>
      <c r="L368" t="s">
        <v>132</v>
      </c>
      <c r="M3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8" t="b">
        <v>0</v>
      </c>
    </row>
    <row r="369" spans="1:14" x14ac:dyDescent="0.3">
      <c r="A369">
        <v>560</v>
      </c>
      <c r="B369">
        <v>1998</v>
      </c>
      <c r="C369" s="2">
        <v>35971</v>
      </c>
      <c r="D369" s="3" cm="1">
        <f t="array" ref="D3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69" t="s">
        <v>38</v>
      </c>
      <c r="F369" t="str">
        <f>IF((world_cup_matches9[[#This Row],[StageOrder]]&gt;=7),"High Pressure","Low Pressure")</f>
        <v>Low Pressure</v>
      </c>
      <c r="G369" t="s">
        <v>5</v>
      </c>
      <c r="H369">
        <v>0</v>
      </c>
      <c r="I369">
        <v>1</v>
      </c>
      <c r="J369" t="s">
        <v>69</v>
      </c>
      <c r="K369">
        <f>world_cup_matches9[[#This Row],[Home Goals]]+world_cup_matches9[[#This Row],[Away Goals]]</f>
        <v>1</v>
      </c>
      <c r="L369" t="s">
        <v>132</v>
      </c>
      <c r="M3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69" t="b">
        <v>0</v>
      </c>
    </row>
    <row r="370" spans="1:14" x14ac:dyDescent="0.3">
      <c r="A370">
        <v>561</v>
      </c>
      <c r="B370">
        <v>1998</v>
      </c>
      <c r="C370" s="2">
        <v>35972</v>
      </c>
      <c r="D370" s="3" cm="1">
        <f t="array" ref="D3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0" t="s">
        <v>38</v>
      </c>
      <c r="F370" t="str">
        <f>IF((world_cup_matches9[[#This Row],[StageOrder]]&gt;=7),"High Pressure","Low Pressure")</f>
        <v>Low Pressure</v>
      </c>
      <c r="G370" t="s">
        <v>18</v>
      </c>
      <c r="H370">
        <v>1</v>
      </c>
      <c r="I370">
        <v>2</v>
      </c>
      <c r="J370" t="s">
        <v>87</v>
      </c>
      <c r="K370">
        <f>world_cup_matches9[[#This Row],[Home Goals]]+world_cup_matches9[[#This Row],[Away Goals]]</f>
        <v>3</v>
      </c>
      <c r="L370" t="s">
        <v>132</v>
      </c>
      <c r="M3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0" t="b">
        <v>0</v>
      </c>
    </row>
    <row r="371" spans="1:14" x14ac:dyDescent="0.3">
      <c r="A371">
        <v>562</v>
      </c>
      <c r="B371">
        <v>1998</v>
      </c>
      <c r="C371" s="2">
        <v>35972</v>
      </c>
      <c r="D371" s="3" cm="1">
        <f t="array" ref="D3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1" t="s">
        <v>38</v>
      </c>
      <c r="F371" t="str">
        <f>IF((world_cup_matches9[[#This Row],[StageOrder]]&gt;=7),"High Pressure","Low Pressure")</f>
        <v>Low Pressure</v>
      </c>
      <c r="G371" t="s">
        <v>7</v>
      </c>
      <c r="H371">
        <v>1</v>
      </c>
      <c r="I371">
        <v>0</v>
      </c>
      <c r="J371" t="s">
        <v>22</v>
      </c>
      <c r="K371">
        <f>world_cup_matches9[[#This Row],[Home Goals]]+world_cup_matches9[[#This Row],[Away Goals]]</f>
        <v>1</v>
      </c>
      <c r="L371" t="s">
        <v>132</v>
      </c>
      <c r="M3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1" t="b">
        <v>0</v>
      </c>
    </row>
    <row r="372" spans="1:14" x14ac:dyDescent="0.3">
      <c r="A372">
        <v>563</v>
      </c>
      <c r="B372">
        <v>1998</v>
      </c>
      <c r="C372" s="2">
        <v>35972</v>
      </c>
      <c r="D372" s="3" cm="1">
        <f t="array" ref="D3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2" t="s">
        <v>38</v>
      </c>
      <c r="F372" t="str">
        <f>IF((world_cup_matches9[[#This Row],[StageOrder]]&gt;=7),"High Pressure","Low Pressure")</f>
        <v>Low Pressure</v>
      </c>
      <c r="G372" t="s">
        <v>68</v>
      </c>
      <c r="H372">
        <v>1</v>
      </c>
      <c r="I372">
        <v>1</v>
      </c>
      <c r="J372" t="s">
        <v>14</v>
      </c>
      <c r="K372">
        <f>world_cup_matches9[[#This Row],[Home Goals]]+world_cup_matches9[[#This Row],[Away Goals]]</f>
        <v>2</v>
      </c>
      <c r="L372" t="s">
        <v>132</v>
      </c>
      <c r="M3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2" t="b">
        <v>0</v>
      </c>
    </row>
    <row r="373" spans="1:14" x14ac:dyDescent="0.3">
      <c r="A373">
        <v>564</v>
      </c>
      <c r="B373">
        <v>1998</v>
      </c>
      <c r="C373" s="2">
        <v>35972</v>
      </c>
      <c r="D373" s="3" cm="1">
        <f t="array" ref="D3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3" t="s">
        <v>38</v>
      </c>
      <c r="F373" t="str">
        <f>IF((world_cup_matches9[[#This Row],[StageOrder]]&gt;=7),"High Pressure","Low Pressure")</f>
        <v>Low Pressure</v>
      </c>
      <c r="G373" t="s">
        <v>53</v>
      </c>
      <c r="H373">
        <v>0</v>
      </c>
      <c r="I373">
        <v>2</v>
      </c>
      <c r="J373" t="s">
        <v>3</v>
      </c>
      <c r="K373">
        <f>world_cup_matches9[[#This Row],[Home Goals]]+world_cup_matches9[[#This Row],[Away Goals]]</f>
        <v>2</v>
      </c>
      <c r="L373" t="s">
        <v>132</v>
      </c>
      <c r="M3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3" t="b">
        <v>0</v>
      </c>
    </row>
    <row r="374" spans="1:14" x14ac:dyDescent="0.3">
      <c r="A374">
        <v>581</v>
      </c>
      <c r="B374">
        <v>2002</v>
      </c>
      <c r="C374" s="2">
        <v>37407</v>
      </c>
      <c r="D374" s="3" cm="1">
        <f t="array" ref="D3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4" t="s">
        <v>38</v>
      </c>
      <c r="F374" t="str">
        <f>IF((world_cup_matches9[[#This Row],[StageOrder]]&gt;=7),"High Pressure","Low Pressure")</f>
        <v>Low Pressure</v>
      </c>
      <c r="G374" t="s">
        <v>11</v>
      </c>
      <c r="H374">
        <v>0</v>
      </c>
      <c r="I374">
        <v>1</v>
      </c>
      <c r="J374" t="s">
        <v>1</v>
      </c>
      <c r="K374">
        <f>world_cup_matches9[[#This Row],[Home Goals]]+world_cup_matches9[[#This Row],[Away Goals]]</f>
        <v>1</v>
      </c>
      <c r="L374" t="s">
        <v>132</v>
      </c>
      <c r="M3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4" t="b">
        <v>0</v>
      </c>
    </row>
    <row r="375" spans="1:14" x14ac:dyDescent="0.3">
      <c r="A375">
        <v>582</v>
      </c>
      <c r="B375">
        <v>2002</v>
      </c>
      <c r="C375" s="2">
        <v>37408</v>
      </c>
      <c r="D375" s="3" cm="1">
        <f t="array" ref="D3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5" t="s">
        <v>38</v>
      </c>
      <c r="F375" t="str">
        <f>IF((world_cup_matches9[[#This Row],[StageOrder]]&gt;=7),"High Pressure","Low Pressure")</f>
        <v>Low Pressure</v>
      </c>
      <c r="G375" t="s">
        <v>73</v>
      </c>
      <c r="H375">
        <v>1</v>
      </c>
      <c r="I375">
        <v>1</v>
      </c>
      <c r="J375" t="s">
        <v>26</v>
      </c>
      <c r="K375">
        <f>world_cup_matches9[[#This Row],[Home Goals]]+world_cup_matches9[[#This Row],[Away Goals]]</f>
        <v>2</v>
      </c>
      <c r="L375" t="s">
        <v>132</v>
      </c>
      <c r="M3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5" t="b">
        <v>0</v>
      </c>
    </row>
    <row r="376" spans="1:14" x14ac:dyDescent="0.3">
      <c r="A376">
        <v>583</v>
      </c>
      <c r="B376">
        <v>2002</v>
      </c>
      <c r="C376" s="2">
        <v>37408</v>
      </c>
      <c r="D376" s="3" cm="1">
        <f t="array" ref="D3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6" t="s">
        <v>38</v>
      </c>
      <c r="F376" t="str">
        <f>IF((world_cup_matches9[[#This Row],[StageOrder]]&gt;=7),"High Pressure","Low Pressure")</f>
        <v>Low Pressure</v>
      </c>
      <c r="G376" t="s">
        <v>29</v>
      </c>
      <c r="H376">
        <v>1</v>
      </c>
      <c r="I376">
        <v>2</v>
      </c>
      <c r="J376" t="s">
        <v>13</v>
      </c>
      <c r="K376">
        <f>world_cup_matches9[[#This Row],[Home Goals]]+world_cup_matches9[[#This Row],[Away Goals]]</f>
        <v>3</v>
      </c>
      <c r="L376" t="s">
        <v>132</v>
      </c>
      <c r="M3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6" t="b">
        <v>0</v>
      </c>
    </row>
    <row r="377" spans="1:14" x14ac:dyDescent="0.3">
      <c r="A377">
        <v>584</v>
      </c>
      <c r="B377">
        <v>2002</v>
      </c>
      <c r="C377" s="2">
        <v>37408</v>
      </c>
      <c r="D377" s="3" cm="1">
        <f t="array" ref="D3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7" t="s">
        <v>38</v>
      </c>
      <c r="F377" t="str">
        <f>IF((world_cup_matches9[[#This Row],[StageOrder]]&gt;=7),"High Pressure","Low Pressure")</f>
        <v>Low Pressure</v>
      </c>
      <c r="G377" t="s">
        <v>17</v>
      </c>
      <c r="H377">
        <v>8</v>
      </c>
      <c r="I377">
        <v>0</v>
      </c>
      <c r="J377" t="s">
        <v>8</v>
      </c>
      <c r="K377">
        <f>world_cup_matches9[[#This Row],[Home Goals]]+world_cup_matches9[[#This Row],[Away Goals]]</f>
        <v>8</v>
      </c>
      <c r="L377" t="s">
        <v>132</v>
      </c>
      <c r="M3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7" t="b">
        <v>0</v>
      </c>
    </row>
    <row r="378" spans="1:14" x14ac:dyDescent="0.3">
      <c r="A378">
        <v>585</v>
      </c>
      <c r="B378">
        <v>2002</v>
      </c>
      <c r="C378" s="2">
        <v>37409</v>
      </c>
      <c r="D378" s="3" cm="1">
        <f t="array" ref="D3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8" t="s">
        <v>38</v>
      </c>
      <c r="F378" t="str">
        <f>IF((world_cup_matches9[[#This Row],[StageOrder]]&gt;=7),"High Pressure","Low Pressure")</f>
        <v>Low Pressure</v>
      </c>
      <c r="G378" t="s">
        <v>7</v>
      </c>
      <c r="H378">
        <v>1</v>
      </c>
      <c r="I378">
        <v>0</v>
      </c>
      <c r="J378" t="s">
        <v>82</v>
      </c>
      <c r="K378">
        <f>world_cup_matches9[[#This Row],[Home Goals]]+world_cup_matches9[[#This Row],[Away Goals]]</f>
        <v>1</v>
      </c>
      <c r="L378" t="s">
        <v>132</v>
      </c>
      <c r="M3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8" t="b">
        <v>0</v>
      </c>
    </row>
    <row r="379" spans="1:14" x14ac:dyDescent="0.3">
      <c r="A379">
        <v>586</v>
      </c>
      <c r="B379">
        <v>2002</v>
      </c>
      <c r="C379" s="2">
        <v>37409</v>
      </c>
      <c r="D379" s="3" cm="1">
        <f t="array" ref="D3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79" t="s">
        <v>38</v>
      </c>
      <c r="F379" t="str">
        <f>IF((world_cup_matches9[[#This Row],[StageOrder]]&gt;=7),"High Pressure","Low Pressure")</f>
        <v>Low Pressure</v>
      </c>
      <c r="G379" t="s">
        <v>65</v>
      </c>
      <c r="H379">
        <v>2</v>
      </c>
      <c r="I379">
        <v>2</v>
      </c>
      <c r="J379" t="s">
        <v>70</v>
      </c>
      <c r="K379">
        <f>world_cup_matches9[[#This Row],[Home Goals]]+world_cup_matches9[[#This Row],[Away Goals]]</f>
        <v>4</v>
      </c>
      <c r="L379" t="s">
        <v>132</v>
      </c>
      <c r="M3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79" t="b">
        <v>0</v>
      </c>
    </row>
    <row r="380" spans="1:14" x14ac:dyDescent="0.3">
      <c r="A380">
        <v>587</v>
      </c>
      <c r="B380">
        <v>2002</v>
      </c>
      <c r="C380" s="2">
        <v>37409</v>
      </c>
      <c r="D380" s="3" cm="1">
        <f t="array" ref="D3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0" t="s">
        <v>38</v>
      </c>
      <c r="F380" t="str">
        <f>IF((world_cup_matches9[[#This Row],[StageOrder]]&gt;=7),"High Pressure","Low Pressure")</f>
        <v>Low Pressure</v>
      </c>
      <c r="G380" t="s">
        <v>3</v>
      </c>
      <c r="H380">
        <v>1</v>
      </c>
      <c r="I380">
        <v>1</v>
      </c>
      <c r="J380" t="s">
        <v>62</v>
      </c>
      <c r="K380">
        <f>world_cup_matches9[[#This Row],[Home Goals]]+world_cup_matches9[[#This Row],[Away Goals]]</f>
        <v>2</v>
      </c>
      <c r="L380" t="s">
        <v>132</v>
      </c>
      <c r="M3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0" t="b">
        <v>0</v>
      </c>
    </row>
    <row r="381" spans="1:14" x14ac:dyDescent="0.3">
      <c r="A381">
        <v>588</v>
      </c>
      <c r="B381">
        <v>2002</v>
      </c>
      <c r="C381" s="2">
        <v>37409</v>
      </c>
      <c r="D381" s="3" cm="1">
        <f t="array" ref="D3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1" t="s">
        <v>38</v>
      </c>
      <c r="F381" t="str">
        <f>IF((world_cup_matches9[[#This Row],[StageOrder]]&gt;=7),"High Pressure","Low Pressure")</f>
        <v>Low Pressure</v>
      </c>
      <c r="G381" t="s">
        <v>15</v>
      </c>
      <c r="H381">
        <v>3</v>
      </c>
      <c r="I381">
        <v>1</v>
      </c>
      <c r="J381" t="s">
        <v>93</v>
      </c>
      <c r="K381">
        <f>world_cup_matches9[[#This Row],[Home Goals]]+world_cup_matches9[[#This Row],[Away Goals]]</f>
        <v>4</v>
      </c>
      <c r="L381" t="s">
        <v>132</v>
      </c>
      <c r="M3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1" t="b">
        <v>0</v>
      </c>
    </row>
    <row r="382" spans="1:14" x14ac:dyDescent="0.3">
      <c r="A382">
        <v>589</v>
      </c>
      <c r="B382">
        <v>2002</v>
      </c>
      <c r="C382" s="2">
        <v>37410</v>
      </c>
      <c r="D382" s="3" cm="1">
        <f t="array" ref="D3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2" t="s">
        <v>38</v>
      </c>
      <c r="F382" t="str">
        <f>IF((world_cup_matches9[[#This Row],[StageOrder]]&gt;=7),"High Pressure","Low Pressure")</f>
        <v>Low Pressure</v>
      </c>
      <c r="G382" t="s">
        <v>22</v>
      </c>
      <c r="H382">
        <v>0</v>
      </c>
      <c r="I382">
        <v>1</v>
      </c>
      <c r="J382" t="s">
        <v>9</v>
      </c>
      <c r="K382">
        <f>world_cup_matches9[[#This Row],[Home Goals]]+world_cup_matches9[[#This Row],[Away Goals]]</f>
        <v>1</v>
      </c>
      <c r="L382" t="s">
        <v>132</v>
      </c>
      <c r="M3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2" t="b">
        <v>0</v>
      </c>
    </row>
    <row r="383" spans="1:14" x14ac:dyDescent="0.3">
      <c r="A383">
        <v>590</v>
      </c>
      <c r="B383">
        <v>2002</v>
      </c>
      <c r="C383" s="2">
        <v>37410</v>
      </c>
      <c r="D383" s="3" cm="1">
        <f t="array" ref="D3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3" t="s">
        <v>38</v>
      </c>
      <c r="F383" t="str">
        <f>IF((world_cup_matches9[[#This Row],[StageOrder]]&gt;=7),"High Pressure","Low Pressure")</f>
        <v>Low Pressure</v>
      </c>
      <c r="G383" t="s">
        <v>23</v>
      </c>
      <c r="H383">
        <v>2</v>
      </c>
      <c r="I383">
        <v>1</v>
      </c>
      <c r="J383" t="s">
        <v>45</v>
      </c>
      <c r="K383">
        <f>world_cup_matches9[[#This Row],[Home Goals]]+world_cup_matches9[[#This Row],[Away Goals]]</f>
        <v>3</v>
      </c>
      <c r="L383" t="s">
        <v>132</v>
      </c>
      <c r="M3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3" t="b">
        <v>0</v>
      </c>
    </row>
    <row r="384" spans="1:14" x14ac:dyDescent="0.3">
      <c r="A384">
        <v>591</v>
      </c>
      <c r="B384">
        <v>2002</v>
      </c>
      <c r="C384" s="2">
        <v>37410</v>
      </c>
      <c r="D384" s="3" cm="1">
        <f t="array" ref="D3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4" t="s">
        <v>38</v>
      </c>
      <c r="F384" t="str">
        <f>IF((world_cup_matches9[[#This Row],[StageOrder]]&gt;=7),"High Pressure","Low Pressure")</f>
        <v>Low Pressure</v>
      </c>
      <c r="G384" t="s">
        <v>46</v>
      </c>
      <c r="H384">
        <v>2</v>
      </c>
      <c r="I384">
        <v>0</v>
      </c>
      <c r="J384" t="s">
        <v>0</v>
      </c>
      <c r="K384">
        <f>world_cup_matches9[[#This Row],[Home Goals]]+world_cup_matches9[[#This Row],[Away Goals]]</f>
        <v>2</v>
      </c>
      <c r="L384" t="s">
        <v>132</v>
      </c>
      <c r="M3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4" t="b">
        <v>0</v>
      </c>
    </row>
    <row r="385" spans="1:14" x14ac:dyDescent="0.3">
      <c r="A385">
        <v>592</v>
      </c>
      <c r="B385">
        <v>2002</v>
      </c>
      <c r="C385" s="2">
        <v>37411</v>
      </c>
      <c r="D385" s="3" cm="1">
        <f t="array" ref="D3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5" t="s">
        <v>38</v>
      </c>
      <c r="F385" t="str">
        <f>IF((world_cup_matches9[[#This Row],[StageOrder]]&gt;=7),"High Pressure","Low Pressure")</f>
        <v>Low Pressure</v>
      </c>
      <c r="G385" t="s">
        <v>56</v>
      </c>
      <c r="H385">
        <v>0</v>
      </c>
      <c r="I385">
        <v>2</v>
      </c>
      <c r="J385" t="s">
        <v>16</v>
      </c>
      <c r="K385">
        <f>world_cup_matches9[[#This Row],[Home Goals]]+world_cup_matches9[[#This Row],[Away Goals]]</f>
        <v>2</v>
      </c>
      <c r="L385" t="s">
        <v>132</v>
      </c>
      <c r="M3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5" t="b">
        <v>0</v>
      </c>
    </row>
    <row r="386" spans="1:14" x14ac:dyDescent="0.3">
      <c r="A386">
        <v>593</v>
      </c>
      <c r="B386">
        <v>2002</v>
      </c>
      <c r="C386" s="2">
        <v>37411</v>
      </c>
      <c r="D386" s="3" cm="1">
        <f t="array" ref="D3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6" t="s">
        <v>38</v>
      </c>
      <c r="F386" t="str">
        <f>IF((world_cup_matches9[[#This Row],[StageOrder]]&gt;=7),"High Pressure","Low Pressure")</f>
        <v>Low Pressure</v>
      </c>
      <c r="G386" t="s">
        <v>18</v>
      </c>
      <c r="H386">
        <v>2</v>
      </c>
      <c r="I386">
        <v>2</v>
      </c>
      <c r="J386" t="s">
        <v>19</v>
      </c>
      <c r="K386">
        <f>world_cup_matches9[[#This Row],[Home Goals]]+world_cup_matches9[[#This Row],[Away Goals]]</f>
        <v>4</v>
      </c>
      <c r="L386" t="s">
        <v>132</v>
      </c>
      <c r="M3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6" t="b">
        <v>1</v>
      </c>
    </row>
    <row r="387" spans="1:14" x14ac:dyDescent="0.3">
      <c r="A387">
        <v>594</v>
      </c>
      <c r="B387">
        <v>2002</v>
      </c>
      <c r="C387" s="2">
        <v>37411</v>
      </c>
      <c r="D387" s="3" cm="1">
        <f t="array" ref="D3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7" t="s">
        <v>38</v>
      </c>
      <c r="F387" t="str">
        <f>IF((world_cup_matches9[[#This Row],[StageOrder]]&gt;=7),"High Pressure","Low Pressure")</f>
        <v>Low Pressure</v>
      </c>
      <c r="G387" t="s">
        <v>30</v>
      </c>
      <c r="H387">
        <v>2</v>
      </c>
      <c r="I387">
        <v>0</v>
      </c>
      <c r="J387" t="s">
        <v>10</v>
      </c>
      <c r="K387">
        <f>world_cup_matches9[[#This Row],[Home Goals]]+world_cup_matches9[[#This Row],[Away Goals]]</f>
        <v>2</v>
      </c>
      <c r="L387" t="s">
        <v>132</v>
      </c>
      <c r="M3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7" t="b">
        <v>1</v>
      </c>
    </row>
    <row r="388" spans="1:14" x14ac:dyDescent="0.3">
      <c r="A388">
        <v>595</v>
      </c>
      <c r="B388">
        <v>2002</v>
      </c>
      <c r="C388" s="2">
        <v>37412</v>
      </c>
      <c r="D388" s="3" cm="1">
        <f t="array" ref="D3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8" t="s">
        <v>38</v>
      </c>
      <c r="F388" t="str">
        <f>IF((world_cup_matches9[[#This Row],[StageOrder]]&gt;=7),"High Pressure","Low Pressure")</f>
        <v>Low Pressure</v>
      </c>
      <c r="G388" t="s">
        <v>54</v>
      </c>
      <c r="H388">
        <v>2</v>
      </c>
      <c r="I388">
        <v>0</v>
      </c>
      <c r="J388" t="s">
        <v>14</v>
      </c>
      <c r="K388">
        <f>world_cup_matches9[[#This Row],[Home Goals]]+world_cup_matches9[[#This Row],[Away Goals]]</f>
        <v>2</v>
      </c>
      <c r="L388" t="s">
        <v>132</v>
      </c>
      <c r="M3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8" t="b">
        <v>0</v>
      </c>
    </row>
    <row r="389" spans="1:14" x14ac:dyDescent="0.3">
      <c r="A389">
        <v>596</v>
      </c>
      <c r="B389">
        <v>2002</v>
      </c>
      <c r="C389" s="2">
        <v>37412</v>
      </c>
      <c r="D389" s="3" cm="1">
        <f t="array" ref="D3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89" t="s">
        <v>38</v>
      </c>
      <c r="F389" t="str">
        <f>IF((world_cup_matches9[[#This Row],[StageOrder]]&gt;=7),"High Pressure","Low Pressure")</f>
        <v>Low Pressure</v>
      </c>
      <c r="G389" t="s">
        <v>5</v>
      </c>
      <c r="H389">
        <v>3</v>
      </c>
      <c r="I389">
        <v>2</v>
      </c>
      <c r="J389" t="s">
        <v>27</v>
      </c>
      <c r="K389">
        <f>world_cup_matches9[[#This Row],[Home Goals]]+world_cup_matches9[[#This Row],[Away Goals]]</f>
        <v>5</v>
      </c>
      <c r="L389" t="s">
        <v>132</v>
      </c>
      <c r="M3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89" t="b">
        <v>0</v>
      </c>
    </row>
    <row r="390" spans="1:14" x14ac:dyDescent="0.3">
      <c r="A390">
        <v>597</v>
      </c>
      <c r="B390">
        <v>2002</v>
      </c>
      <c r="C390" s="2">
        <v>37412</v>
      </c>
      <c r="D390" s="3" cm="1">
        <f t="array" ref="D3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0" t="s">
        <v>38</v>
      </c>
      <c r="F390" t="str">
        <f>IF((world_cup_matches9[[#This Row],[StageOrder]]&gt;=7),"High Pressure","Low Pressure")</f>
        <v>Low Pressure</v>
      </c>
      <c r="G390" t="s">
        <v>17</v>
      </c>
      <c r="H390">
        <v>1</v>
      </c>
      <c r="I390">
        <v>1</v>
      </c>
      <c r="J390" t="s">
        <v>73</v>
      </c>
      <c r="K390">
        <f>world_cup_matches9[[#This Row],[Home Goals]]+world_cup_matches9[[#This Row],[Away Goals]]</f>
        <v>2</v>
      </c>
      <c r="L390" t="s">
        <v>132</v>
      </c>
      <c r="M3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0" t="b">
        <v>0</v>
      </c>
    </row>
    <row r="391" spans="1:14" x14ac:dyDescent="0.3">
      <c r="A391">
        <v>598</v>
      </c>
      <c r="B391">
        <v>2002</v>
      </c>
      <c r="C391" s="2">
        <v>37413</v>
      </c>
      <c r="D391" s="3" cm="1">
        <f t="array" ref="D3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1" t="s">
        <v>38</v>
      </c>
      <c r="F391" t="str">
        <f>IF((world_cup_matches9[[#This Row],[StageOrder]]&gt;=7),"High Pressure","Low Pressure")</f>
        <v>Low Pressure</v>
      </c>
      <c r="G391" t="s">
        <v>13</v>
      </c>
      <c r="H391">
        <v>1</v>
      </c>
      <c r="I391">
        <v>1</v>
      </c>
      <c r="J391" t="s">
        <v>1</v>
      </c>
      <c r="K391">
        <f>world_cup_matches9[[#This Row],[Home Goals]]+world_cup_matches9[[#This Row],[Away Goals]]</f>
        <v>2</v>
      </c>
      <c r="L391" t="s">
        <v>132</v>
      </c>
      <c r="M3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1" t="b">
        <v>0</v>
      </c>
    </row>
    <row r="392" spans="1:14" x14ac:dyDescent="0.3">
      <c r="A392">
        <v>599</v>
      </c>
      <c r="B392">
        <v>2002</v>
      </c>
      <c r="C392" s="2">
        <v>37413</v>
      </c>
      <c r="D392" s="3" cm="1">
        <f t="array" ref="D3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2" t="s">
        <v>38</v>
      </c>
      <c r="F392" t="str">
        <f>IF((world_cup_matches9[[#This Row],[StageOrder]]&gt;=7),"High Pressure","Low Pressure")</f>
        <v>Low Pressure</v>
      </c>
      <c r="G392" t="s">
        <v>26</v>
      </c>
      <c r="H392">
        <v>1</v>
      </c>
      <c r="I392">
        <v>0</v>
      </c>
      <c r="J392" t="s">
        <v>8</v>
      </c>
      <c r="K392">
        <f>world_cup_matches9[[#This Row],[Home Goals]]+world_cup_matches9[[#This Row],[Away Goals]]</f>
        <v>1</v>
      </c>
      <c r="L392" t="s">
        <v>132</v>
      </c>
      <c r="M3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2" t="b">
        <v>0</v>
      </c>
    </row>
    <row r="393" spans="1:14" x14ac:dyDescent="0.3">
      <c r="A393">
        <v>600</v>
      </c>
      <c r="B393">
        <v>2002</v>
      </c>
      <c r="C393" s="2">
        <v>37413</v>
      </c>
      <c r="D393" s="3" cm="1">
        <f t="array" ref="D3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3" t="s">
        <v>38</v>
      </c>
      <c r="F393" t="str">
        <f>IF((world_cup_matches9[[#This Row],[StageOrder]]&gt;=7),"High Pressure","Low Pressure")</f>
        <v>Low Pressure</v>
      </c>
      <c r="G393" t="s">
        <v>11</v>
      </c>
      <c r="H393">
        <v>0</v>
      </c>
      <c r="I393">
        <v>0</v>
      </c>
      <c r="J393" t="s">
        <v>29</v>
      </c>
      <c r="K393">
        <f>world_cup_matches9[[#This Row],[Home Goals]]+world_cup_matches9[[#This Row],[Away Goals]]</f>
        <v>0</v>
      </c>
      <c r="L393" t="s">
        <v>132</v>
      </c>
      <c r="M3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3" t="b">
        <v>0</v>
      </c>
    </row>
    <row r="394" spans="1:14" x14ac:dyDescent="0.3">
      <c r="A394">
        <v>601</v>
      </c>
      <c r="B394">
        <v>2002</v>
      </c>
      <c r="C394" s="2">
        <v>37414</v>
      </c>
      <c r="D394" s="3" cm="1">
        <f t="array" ref="D3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4" t="s">
        <v>38</v>
      </c>
      <c r="F394" t="str">
        <f>IF((world_cup_matches9[[#This Row],[StageOrder]]&gt;=7),"High Pressure","Low Pressure")</f>
        <v>Low Pressure</v>
      </c>
      <c r="G394" t="s">
        <v>62</v>
      </c>
      <c r="H394">
        <v>2</v>
      </c>
      <c r="I394">
        <v>1</v>
      </c>
      <c r="J394" t="s">
        <v>82</v>
      </c>
      <c r="K394">
        <f>world_cup_matches9[[#This Row],[Home Goals]]+world_cup_matches9[[#This Row],[Away Goals]]</f>
        <v>3</v>
      </c>
      <c r="L394" t="s">
        <v>132</v>
      </c>
      <c r="M3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4" t="b">
        <v>0</v>
      </c>
    </row>
    <row r="395" spans="1:14" x14ac:dyDescent="0.3">
      <c r="A395">
        <v>602</v>
      </c>
      <c r="B395">
        <v>2002</v>
      </c>
      <c r="C395" s="2">
        <v>37414</v>
      </c>
      <c r="D395" s="3" cm="1">
        <f t="array" ref="D3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5" t="s">
        <v>38</v>
      </c>
      <c r="F395" t="str">
        <f>IF((world_cup_matches9[[#This Row],[StageOrder]]&gt;=7),"High Pressure","Low Pressure")</f>
        <v>Low Pressure</v>
      </c>
      <c r="G395" t="s">
        <v>15</v>
      </c>
      <c r="H395">
        <v>3</v>
      </c>
      <c r="I395">
        <v>1</v>
      </c>
      <c r="J395" t="s">
        <v>65</v>
      </c>
      <c r="K395">
        <f>world_cup_matches9[[#This Row],[Home Goals]]+world_cup_matches9[[#This Row],[Away Goals]]</f>
        <v>4</v>
      </c>
      <c r="L395" t="s">
        <v>132</v>
      </c>
      <c r="M3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5" t="b">
        <v>0</v>
      </c>
    </row>
    <row r="396" spans="1:14" x14ac:dyDescent="0.3">
      <c r="A396">
        <v>603</v>
      </c>
      <c r="B396">
        <v>2002</v>
      </c>
      <c r="C396" s="2">
        <v>37414</v>
      </c>
      <c r="D396" s="3" cm="1">
        <f t="array" ref="D3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6" t="s">
        <v>38</v>
      </c>
      <c r="F396" t="str">
        <f>IF((world_cup_matches9[[#This Row],[StageOrder]]&gt;=7),"High Pressure","Low Pressure")</f>
        <v>Low Pressure</v>
      </c>
      <c r="G396" t="s">
        <v>7</v>
      </c>
      <c r="H396">
        <v>0</v>
      </c>
      <c r="I396">
        <v>1</v>
      </c>
      <c r="J396" t="s">
        <v>3</v>
      </c>
      <c r="K396">
        <f>world_cup_matches9[[#This Row],[Home Goals]]+world_cup_matches9[[#This Row],[Away Goals]]</f>
        <v>1</v>
      </c>
      <c r="L396" t="s">
        <v>132</v>
      </c>
      <c r="M3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6" t="b">
        <v>0</v>
      </c>
    </row>
    <row r="397" spans="1:14" x14ac:dyDescent="0.3">
      <c r="A397">
        <v>604</v>
      </c>
      <c r="B397">
        <v>2002</v>
      </c>
      <c r="C397" s="2">
        <v>37415</v>
      </c>
      <c r="D397" s="3" cm="1">
        <f t="array" ref="D3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7" t="s">
        <v>38</v>
      </c>
      <c r="F397" t="str">
        <f>IF((world_cup_matches9[[#This Row],[StageOrder]]&gt;=7),"High Pressure","Low Pressure")</f>
        <v>Low Pressure</v>
      </c>
      <c r="G397" t="s">
        <v>70</v>
      </c>
      <c r="H397">
        <v>1</v>
      </c>
      <c r="I397">
        <v>0</v>
      </c>
      <c r="J397" t="s">
        <v>93</v>
      </c>
      <c r="K397">
        <f>world_cup_matches9[[#This Row],[Home Goals]]+world_cup_matches9[[#This Row],[Away Goals]]</f>
        <v>1</v>
      </c>
      <c r="L397" t="s">
        <v>132</v>
      </c>
      <c r="M3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7" t="b">
        <v>0</v>
      </c>
    </row>
    <row r="398" spans="1:14" x14ac:dyDescent="0.3">
      <c r="A398">
        <v>605</v>
      </c>
      <c r="B398">
        <v>2002</v>
      </c>
      <c r="C398" s="2">
        <v>37415</v>
      </c>
      <c r="D398" s="3" cm="1">
        <f t="array" ref="D3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8" t="s">
        <v>38</v>
      </c>
      <c r="F398" t="str">
        <f>IF((world_cup_matches9[[#This Row],[StageOrder]]&gt;=7),"High Pressure","Low Pressure")</f>
        <v>Low Pressure</v>
      </c>
      <c r="G398" t="s">
        <v>46</v>
      </c>
      <c r="H398">
        <v>1</v>
      </c>
      <c r="I398">
        <v>2</v>
      </c>
      <c r="J398" t="s">
        <v>22</v>
      </c>
      <c r="K398">
        <f>world_cup_matches9[[#This Row],[Home Goals]]+world_cup_matches9[[#This Row],[Away Goals]]</f>
        <v>3</v>
      </c>
      <c r="L398" t="s">
        <v>132</v>
      </c>
      <c r="M3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8" t="b">
        <v>0</v>
      </c>
    </row>
    <row r="399" spans="1:14" x14ac:dyDescent="0.3">
      <c r="A399">
        <v>606</v>
      </c>
      <c r="B399">
        <v>2002</v>
      </c>
      <c r="C399" s="2">
        <v>37415</v>
      </c>
      <c r="D399" s="3" cm="1">
        <f t="array" ref="D3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399" t="s">
        <v>38</v>
      </c>
      <c r="F399" t="str">
        <f>IF((world_cup_matches9[[#This Row],[StageOrder]]&gt;=7),"High Pressure","Low Pressure")</f>
        <v>Low Pressure</v>
      </c>
      <c r="G399" t="s">
        <v>23</v>
      </c>
      <c r="H399">
        <v>4</v>
      </c>
      <c r="I399">
        <v>0</v>
      </c>
      <c r="J399" t="s">
        <v>56</v>
      </c>
      <c r="K399">
        <f>world_cup_matches9[[#This Row],[Home Goals]]+world_cup_matches9[[#This Row],[Away Goals]]</f>
        <v>4</v>
      </c>
      <c r="L399" t="s">
        <v>132</v>
      </c>
      <c r="M3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399" t="b">
        <v>0</v>
      </c>
    </row>
    <row r="400" spans="1:14" x14ac:dyDescent="0.3">
      <c r="A400">
        <v>607</v>
      </c>
      <c r="B400">
        <v>2002</v>
      </c>
      <c r="C400" s="2">
        <v>37416</v>
      </c>
      <c r="D400" s="3" cm="1">
        <f t="array" ref="D4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0" t="s">
        <v>38</v>
      </c>
      <c r="F400" t="str">
        <f>IF((world_cup_matches9[[#This Row],[StageOrder]]&gt;=7),"High Pressure","Low Pressure")</f>
        <v>Low Pressure</v>
      </c>
      <c r="G400" t="s">
        <v>9</v>
      </c>
      <c r="H400">
        <v>2</v>
      </c>
      <c r="I400">
        <v>1</v>
      </c>
      <c r="J400" t="s">
        <v>0</v>
      </c>
      <c r="K400">
        <f>world_cup_matches9[[#This Row],[Home Goals]]+world_cup_matches9[[#This Row],[Away Goals]]</f>
        <v>3</v>
      </c>
      <c r="L400" t="s">
        <v>132</v>
      </c>
      <c r="M4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0" t="b">
        <v>0</v>
      </c>
    </row>
    <row r="401" spans="1:14" x14ac:dyDescent="0.3">
      <c r="A401">
        <v>608</v>
      </c>
      <c r="B401">
        <v>2002</v>
      </c>
      <c r="C401" s="2">
        <v>37416</v>
      </c>
      <c r="D401" s="3" cm="1">
        <f t="array" ref="D4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1" t="s">
        <v>38</v>
      </c>
      <c r="F401" t="str">
        <f>IF((world_cup_matches9[[#This Row],[StageOrder]]&gt;=7),"High Pressure","Low Pressure")</f>
        <v>Low Pressure</v>
      </c>
      <c r="G401" t="s">
        <v>16</v>
      </c>
      <c r="H401">
        <v>1</v>
      </c>
      <c r="I401">
        <v>1</v>
      </c>
      <c r="J401" t="s">
        <v>45</v>
      </c>
      <c r="K401">
        <f>world_cup_matches9[[#This Row],[Home Goals]]+world_cup_matches9[[#This Row],[Away Goals]]</f>
        <v>2</v>
      </c>
      <c r="L401" t="s">
        <v>132</v>
      </c>
      <c r="M4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1" t="b">
        <v>0</v>
      </c>
    </row>
    <row r="402" spans="1:14" x14ac:dyDescent="0.3">
      <c r="A402">
        <v>609</v>
      </c>
      <c r="B402">
        <v>2002</v>
      </c>
      <c r="C402" s="2">
        <v>37416</v>
      </c>
      <c r="D402" s="3" cm="1">
        <f t="array" ref="D4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2" t="s">
        <v>38</v>
      </c>
      <c r="F402" t="str">
        <f>IF((world_cup_matches9[[#This Row],[StageOrder]]&gt;=7),"High Pressure","Low Pressure")</f>
        <v>Low Pressure</v>
      </c>
      <c r="G402" t="s">
        <v>18</v>
      </c>
      <c r="H402">
        <v>1</v>
      </c>
      <c r="I402">
        <v>0</v>
      </c>
      <c r="J402" t="s">
        <v>54</v>
      </c>
      <c r="K402">
        <f>world_cup_matches9[[#This Row],[Home Goals]]+world_cup_matches9[[#This Row],[Away Goals]]</f>
        <v>1</v>
      </c>
      <c r="L402" t="s">
        <v>132</v>
      </c>
      <c r="M4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2" t="b">
        <v>1</v>
      </c>
    </row>
    <row r="403" spans="1:14" x14ac:dyDescent="0.3">
      <c r="A403">
        <v>610</v>
      </c>
      <c r="B403">
        <v>2002</v>
      </c>
      <c r="C403" s="2">
        <v>37417</v>
      </c>
      <c r="D403" s="3" cm="1">
        <f t="array" ref="D4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3" t="s">
        <v>38</v>
      </c>
      <c r="F403" t="str">
        <f>IF((world_cup_matches9[[#This Row],[StageOrder]]&gt;=7),"High Pressure","Low Pressure")</f>
        <v>Low Pressure</v>
      </c>
      <c r="G403" t="s">
        <v>30</v>
      </c>
      <c r="H403">
        <v>1</v>
      </c>
      <c r="I403">
        <v>1</v>
      </c>
      <c r="J403" t="s">
        <v>5</v>
      </c>
      <c r="K403">
        <f>world_cup_matches9[[#This Row],[Home Goals]]+world_cup_matches9[[#This Row],[Away Goals]]</f>
        <v>2</v>
      </c>
      <c r="L403" t="s">
        <v>132</v>
      </c>
      <c r="M4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3" t="b">
        <v>1</v>
      </c>
    </row>
    <row r="404" spans="1:14" x14ac:dyDescent="0.3">
      <c r="A404">
        <v>611</v>
      </c>
      <c r="B404">
        <v>2002</v>
      </c>
      <c r="C404" s="2">
        <v>37417</v>
      </c>
      <c r="D404" s="3" cm="1">
        <f t="array" ref="D4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4" t="s">
        <v>38</v>
      </c>
      <c r="F404" t="str">
        <f>IF((world_cup_matches9[[#This Row],[StageOrder]]&gt;=7),"High Pressure","Low Pressure")</f>
        <v>Low Pressure</v>
      </c>
      <c r="G404" t="s">
        <v>14</v>
      </c>
      <c r="H404">
        <v>1</v>
      </c>
      <c r="I404">
        <v>1</v>
      </c>
      <c r="J404" t="s">
        <v>19</v>
      </c>
      <c r="K404">
        <f>world_cup_matches9[[#This Row],[Home Goals]]+world_cup_matches9[[#This Row],[Away Goals]]</f>
        <v>2</v>
      </c>
      <c r="L404" t="s">
        <v>132</v>
      </c>
      <c r="M4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4" t="b">
        <v>0</v>
      </c>
    </row>
    <row r="405" spans="1:14" x14ac:dyDescent="0.3">
      <c r="A405">
        <v>612</v>
      </c>
      <c r="B405">
        <v>2002</v>
      </c>
      <c r="C405" s="2">
        <v>37417</v>
      </c>
      <c r="D405" s="3" cm="1">
        <f t="array" ref="D4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5" t="s">
        <v>38</v>
      </c>
      <c r="F405" t="str">
        <f>IF((world_cup_matches9[[#This Row],[StageOrder]]&gt;=7),"High Pressure","Low Pressure")</f>
        <v>Low Pressure</v>
      </c>
      <c r="G405" t="s">
        <v>27</v>
      </c>
      <c r="H405">
        <v>4</v>
      </c>
      <c r="I405">
        <v>0</v>
      </c>
      <c r="J405" t="s">
        <v>10</v>
      </c>
      <c r="K405">
        <f>world_cup_matches9[[#This Row],[Home Goals]]+world_cup_matches9[[#This Row],[Away Goals]]</f>
        <v>4</v>
      </c>
      <c r="L405" t="s">
        <v>132</v>
      </c>
      <c r="M4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5" t="b">
        <v>0</v>
      </c>
    </row>
    <row r="406" spans="1:14" x14ac:dyDescent="0.3">
      <c r="A406">
        <v>613</v>
      </c>
      <c r="B406">
        <v>2002</v>
      </c>
      <c r="C406" s="2">
        <v>37418</v>
      </c>
      <c r="D406" s="3" cm="1">
        <f t="array" ref="D4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6" t="s">
        <v>38</v>
      </c>
      <c r="F406" t="str">
        <f>IF((world_cup_matches9[[#This Row],[StageOrder]]&gt;=7),"High Pressure","Low Pressure")</f>
        <v>Low Pressure</v>
      </c>
      <c r="G406" t="s">
        <v>13</v>
      </c>
      <c r="H406">
        <v>2</v>
      </c>
      <c r="I406">
        <v>0</v>
      </c>
      <c r="J406" t="s">
        <v>11</v>
      </c>
      <c r="K406">
        <f>world_cup_matches9[[#This Row],[Home Goals]]+world_cup_matches9[[#This Row],[Away Goals]]</f>
        <v>2</v>
      </c>
      <c r="L406" t="s">
        <v>132</v>
      </c>
      <c r="M4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6" t="b">
        <v>0</v>
      </c>
    </row>
    <row r="407" spans="1:14" x14ac:dyDescent="0.3">
      <c r="A407">
        <v>614</v>
      </c>
      <c r="B407">
        <v>2002</v>
      </c>
      <c r="C407" s="2">
        <v>37418</v>
      </c>
      <c r="D407" s="3" cm="1">
        <f t="array" ref="D4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7" t="s">
        <v>38</v>
      </c>
      <c r="F407" t="str">
        <f>IF((world_cup_matches9[[#This Row],[StageOrder]]&gt;=7),"High Pressure","Low Pressure")</f>
        <v>Low Pressure</v>
      </c>
      <c r="G407" t="s">
        <v>1</v>
      </c>
      <c r="H407">
        <v>3</v>
      </c>
      <c r="I407">
        <v>3</v>
      </c>
      <c r="J407" t="s">
        <v>29</v>
      </c>
      <c r="K407">
        <f>world_cup_matches9[[#This Row],[Home Goals]]+world_cup_matches9[[#This Row],[Away Goals]]</f>
        <v>6</v>
      </c>
      <c r="L407" t="s">
        <v>132</v>
      </c>
      <c r="M4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7" t="b">
        <v>0</v>
      </c>
    </row>
    <row r="408" spans="1:14" x14ac:dyDescent="0.3">
      <c r="A408">
        <v>615</v>
      </c>
      <c r="B408">
        <v>2002</v>
      </c>
      <c r="C408" s="2">
        <v>37418</v>
      </c>
      <c r="D408" s="3" cm="1">
        <f t="array" ref="D4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8" t="s">
        <v>38</v>
      </c>
      <c r="F408" t="str">
        <f>IF((world_cup_matches9[[#This Row],[StageOrder]]&gt;=7),"High Pressure","Low Pressure")</f>
        <v>Low Pressure</v>
      </c>
      <c r="G408" t="s">
        <v>8</v>
      </c>
      <c r="H408">
        <v>0</v>
      </c>
      <c r="I408">
        <v>3</v>
      </c>
      <c r="J408" t="s">
        <v>73</v>
      </c>
      <c r="K408">
        <f>world_cup_matches9[[#This Row],[Home Goals]]+world_cup_matches9[[#This Row],[Away Goals]]</f>
        <v>3</v>
      </c>
      <c r="L408" t="s">
        <v>132</v>
      </c>
      <c r="M4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8" t="b">
        <v>0</v>
      </c>
    </row>
    <row r="409" spans="1:14" x14ac:dyDescent="0.3">
      <c r="A409">
        <v>616</v>
      </c>
      <c r="B409">
        <v>2002</v>
      </c>
      <c r="C409" s="2">
        <v>37418</v>
      </c>
      <c r="D409" s="3" cm="1">
        <f t="array" ref="D4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09" t="s">
        <v>38</v>
      </c>
      <c r="F409" t="str">
        <f>IF((world_cup_matches9[[#This Row],[StageOrder]]&gt;=7),"High Pressure","Low Pressure")</f>
        <v>Low Pressure</v>
      </c>
      <c r="G409" t="s">
        <v>26</v>
      </c>
      <c r="H409">
        <v>0</v>
      </c>
      <c r="I409">
        <v>2</v>
      </c>
      <c r="J409" t="s">
        <v>17</v>
      </c>
      <c r="K409">
        <f>world_cup_matches9[[#This Row],[Home Goals]]+world_cup_matches9[[#This Row],[Away Goals]]</f>
        <v>2</v>
      </c>
      <c r="L409" t="s">
        <v>132</v>
      </c>
      <c r="M4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09" t="b">
        <v>0</v>
      </c>
    </row>
    <row r="410" spans="1:14" x14ac:dyDescent="0.3">
      <c r="A410">
        <v>617</v>
      </c>
      <c r="B410">
        <v>2002</v>
      </c>
      <c r="C410" s="2">
        <v>37419</v>
      </c>
      <c r="D410" s="3" cm="1">
        <f t="array" ref="D4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0" t="s">
        <v>38</v>
      </c>
      <c r="F410" t="str">
        <f>IF((world_cup_matches9[[#This Row],[StageOrder]]&gt;=7),"High Pressure","Low Pressure")</f>
        <v>Low Pressure</v>
      </c>
      <c r="G410" t="s">
        <v>62</v>
      </c>
      <c r="H410">
        <v>1</v>
      </c>
      <c r="I410">
        <v>1</v>
      </c>
      <c r="J410" t="s">
        <v>7</v>
      </c>
      <c r="K410">
        <f>world_cup_matches9[[#This Row],[Home Goals]]+world_cup_matches9[[#This Row],[Away Goals]]</f>
        <v>2</v>
      </c>
      <c r="L410" t="s">
        <v>132</v>
      </c>
      <c r="M4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0" t="b">
        <v>0</v>
      </c>
    </row>
    <row r="411" spans="1:14" x14ac:dyDescent="0.3">
      <c r="A411">
        <v>618</v>
      </c>
      <c r="B411">
        <v>2002</v>
      </c>
      <c r="C411" s="2">
        <v>37419</v>
      </c>
      <c r="D411" s="3" cm="1">
        <f t="array" ref="D4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1" t="s">
        <v>38</v>
      </c>
      <c r="F411" t="str">
        <f>IF((world_cup_matches9[[#This Row],[StageOrder]]&gt;=7),"High Pressure","Low Pressure")</f>
        <v>Low Pressure</v>
      </c>
      <c r="G411" t="s">
        <v>82</v>
      </c>
      <c r="H411">
        <v>0</v>
      </c>
      <c r="I411">
        <v>0</v>
      </c>
      <c r="J411" t="s">
        <v>3</v>
      </c>
      <c r="K411">
        <f>world_cup_matches9[[#This Row],[Home Goals]]+world_cup_matches9[[#This Row],[Away Goals]]</f>
        <v>0</v>
      </c>
      <c r="L411" t="s">
        <v>132</v>
      </c>
      <c r="M4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1" t="b">
        <v>0</v>
      </c>
    </row>
    <row r="412" spans="1:14" x14ac:dyDescent="0.3">
      <c r="A412">
        <v>619</v>
      </c>
      <c r="B412">
        <v>2002</v>
      </c>
      <c r="C412" s="2">
        <v>37419</v>
      </c>
      <c r="D412" s="3" cm="1">
        <f t="array" ref="D4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2" t="s">
        <v>38</v>
      </c>
      <c r="F412" t="str">
        <f>IF((world_cup_matches9[[#This Row],[StageOrder]]&gt;=7),"High Pressure","Low Pressure")</f>
        <v>Low Pressure</v>
      </c>
      <c r="G412" t="s">
        <v>93</v>
      </c>
      <c r="H412">
        <v>1</v>
      </c>
      <c r="I412">
        <v>3</v>
      </c>
      <c r="J412" t="s">
        <v>65</v>
      </c>
      <c r="K412">
        <f>world_cup_matches9[[#This Row],[Home Goals]]+world_cup_matches9[[#This Row],[Away Goals]]</f>
        <v>4</v>
      </c>
      <c r="L412" t="s">
        <v>132</v>
      </c>
      <c r="M4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2" t="b">
        <v>0</v>
      </c>
    </row>
    <row r="413" spans="1:14" x14ac:dyDescent="0.3">
      <c r="A413">
        <v>620</v>
      </c>
      <c r="B413">
        <v>2002</v>
      </c>
      <c r="C413" s="2">
        <v>37419</v>
      </c>
      <c r="D413" s="3" cm="1">
        <f t="array" ref="D4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3" t="s">
        <v>38</v>
      </c>
      <c r="F413" t="str">
        <f>IF((world_cup_matches9[[#This Row],[StageOrder]]&gt;=7),"High Pressure","Low Pressure")</f>
        <v>Low Pressure</v>
      </c>
      <c r="G413" t="s">
        <v>70</v>
      </c>
      <c r="H413">
        <v>2</v>
      </c>
      <c r="I413">
        <v>3</v>
      </c>
      <c r="J413" t="s">
        <v>15</v>
      </c>
      <c r="K413">
        <f>world_cup_matches9[[#This Row],[Home Goals]]+world_cup_matches9[[#This Row],[Away Goals]]</f>
        <v>5</v>
      </c>
      <c r="L413" t="s">
        <v>132</v>
      </c>
      <c r="M4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3" t="b">
        <v>0</v>
      </c>
    </row>
    <row r="414" spans="1:14" x14ac:dyDescent="0.3">
      <c r="A414">
        <v>621</v>
      </c>
      <c r="B414">
        <v>2002</v>
      </c>
      <c r="C414" s="2">
        <v>37420</v>
      </c>
      <c r="D414" s="3" cm="1">
        <f t="array" ref="D4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4" t="s">
        <v>38</v>
      </c>
      <c r="F414" t="str">
        <f>IF((world_cup_matches9[[#This Row],[StageOrder]]&gt;=7),"High Pressure","Low Pressure")</f>
        <v>Low Pressure</v>
      </c>
      <c r="G414" t="s">
        <v>16</v>
      </c>
      <c r="H414">
        <v>2</v>
      </c>
      <c r="I414">
        <v>5</v>
      </c>
      <c r="J414" t="s">
        <v>23</v>
      </c>
      <c r="K414">
        <f>world_cup_matches9[[#This Row],[Home Goals]]+world_cup_matches9[[#This Row],[Away Goals]]</f>
        <v>7</v>
      </c>
      <c r="L414" t="s">
        <v>132</v>
      </c>
      <c r="M4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4" t="b">
        <v>0</v>
      </c>
    </row>
    <row r="415" spans="1:14" x14ac:dyDescent="0.3">
      <c r="A415">
        <v>622</v>
      </c>
      <c r="B415">
        <v>2002</v>
      </c>
      <c r="C415" s="2">
        <v>37420</v>
      </c>
      <c r="D415" s="3" cm="1">
        <f t="array" ref="D4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5" t="s">
        <v>38</v>
      </c>
      <c r="F415" t="str">
        <f>IF((world_cup_matches9[[#This Row],[StageOrder]]&gt;=7),"High Pressure","Low Pressure")</f>
        <v>Low Pressure</v>
      </c>
      <c r="G415" t="s">
        <v>45</v>
      </c>
      <c r="H415">
        <v>3</v>
      </c>
      <c r="I415">
        <v>0</v>
      </c>
      <c r="J415" t="s">
        <v>56</v>
      </c>
      <c r="K415">
        <f>world_cup_matches9[[#This Row],[Home Goals]]+world_cup_matches9[[#This Row],[Away Goals]]</f>
        <v>3</v>
      </c>
      <c r="L415" t="s">
        <v>132</v>
      </c>
      <c r="M4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5" t="b">
        <v>0</v>
      </c>
    </row>
    <row r="416" spans="1:14" x14ac:dyDescent="0.3">
      <c r="A416">
        <v>623</v>
      </c>
      <c r="B416">
        <v>2002</v>
      </c>
      <c r="C416" s="2">
        <v>37420</v>
      </c>
      <c r="D416" s="3" cm="1">
        <f t="array" ref="D4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6" t="s">
        <v>38</v>
      </c>
      <c r="F416" t="str">
        <f>IF((world_cup_matches9[[#This Row],[StageOrder]]&gt;=7),"High Pressure","Low Pressure")</f>
        <v>Low Pressure</v>
      </c>
      <c r="G416" t="s">
        <v>0</v>
      </c>
      <c r="H416">
        <v>1</v>
      </c>
      <c r="I416">
        <v>0</v>
      </c>
      <c r="J416" t="s">
        <v>22</v>
      </c>
      <c r="K416">
        <f>world_cup_matches9[[#This Row],[Home Goals]]+world_cup_matches9[[#This Row],[Away Goals]]</f>
        <v>1</v>
      </c>
      <c r="L416" t="s">
        <v>132</v>
      </c>
      <c r="M4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6" t="b">
        <v>0</v>
      </c>
    </row>
    <row r="417" spans="1:14" x14ac:dyDescent="0.3">
      <c r="A417">
        <v>624</v>
      </c>
      <c r="B417">
        <v>2002</v>
      </c>
      <c r="C417" s="2">
        <v>37420</v>
      </c>
      <c r="D417" s="3" cm="1">
        <f t="array" ref="D4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7" t="s">
        <v>38</v>
      </c>
      <c r="F417" t="str">
        <f>IF((world_cup_matches9[[#This Row],[StageOrder]]&gt;=7),"High Pressure","Low Pressure")</f>
        <v>Low Pressure</v>
      </c>
      <c r="G417" t="s">
        <v>9</v>
      </c>
      <c r="H417">
        <v>1</v>
      </c>
      <c r="I417">
        <v>1</v>
      </c>
      <c r="J417" t="s">
        <v>46</v>
      </c>
      <c r="K417">
        <f>world_cup_matches9[[#This Row],[Home Goals]]+world_cup_matches9[[#This Row],[Away Goals]]</f>
        <v>2</v>
      </c>
      <c r="L417" t="s">
        <v>132</v>
      </c>
      <c r="M4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7" t="b">
        <v>0</v>
      </c>
    </row>
    <row r="418" spans="1:14" x14ac:dyDescent="0.3">
      <c r="A418">
        <v>625</v>
      </c>
      <c r="B418">
        <v>2002</v>
      </c>
      <c r="C418" s="2">
        <v>37421</v>
      </c>
      <c r="D418" s="3" cm="1">
        <f t="array" ref="D4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8" t="s">
        <v>38</v>
      </c>
      <c r="F418" t="str">
        <f>IF((world_cup_matches9[[#This Row],[StageOrder]]&gt;=7),"High Pressure","Low Pressure")</f>
        <v>Low Pressure</v>
      </c>
      <c r="G418" t="s">
        <v>18</v>
      </c>
      <c r="H418">
        <v>2</v>
      </c>
      <c r="I418">
        <v>0</v>
      </c>
      <c r="J418" t="s">
        <v>14</v>
      </c>
      <c r="K418">
        <f>world_cup_matches9[[#This Row],[Home Goals]]+world_cup_matches9[[#This Row],[Away Goals]]</f>
        <v>2</v>
      </c>
      <c r="L418" t="s">
        <v>132</v>
      </c>
      <c r="M4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8" t="b">
        <v>1</v>
      </c>
    </row>
    <row r="419" spans="1:14" x14ac:dyDescent="0.3">
      <c r="A419">
        <v>626</v>
      </c>
      <c r="B419">
        <v>2002</v>
      </c>
      <c r="C419" s="2">
        <v>37421</v>
      </c>
      <c r="D419" s="3" cm="1">
        <f t="array" ref="D4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19" t="s">
        <v>38</v>
      </c>
      <c r="F419" t="str">
        <f>IF((world_cup_matches9[[#This Row],[StageOrder]]&gt;=7),"High Pressure","Low Pressure")</f>
        <v>Low Pressure</v>
      </c>
      <c r="G419" t="s">
        <v>19</v>
      </c>
      <c r="H419">
        <v>3</v>
      </c>
      <c r="I419">
        <v>2</v>
      </c>
      <c r="J419" t="s">
        <v>54</v>
      </c>
      <c r="K419">
        <f>world_cup_matches9[[#This Row],[Home Goals]]+world_cup_matches9[[#This Row],[Away Goals]]</f>
        <v>5</v>
      </c>
      <c r="L419" t="s">
        <v>132</v>
      </c>
      <c r="M4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19" t="b">
        <v>0</v>
      </c>
    </row>
    <row r="420" spans="1:14" x14ac:dyDescent="0.3">
      <c r="A420">
        <v>627</v>
      </c>
      <c r="B420">
        <v>2002</v>
      </c>
      <c r="C420" s="2">
        <v>37421</v>
      </c>
      <c r="D420" s="3" cm="1">
        <f t="array" ref="D4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0" t="s">
        <v>38</v>
      </c>
      <c r="F420" t="str">
        <f>IF((world_cup_matches9[[#This Row],[StageOrder]]&gt;=7),"High Pressure","Low Pressure")</f>
        <v>Low Pressure</v>
      </c>
      <c r="G420" t="s">
        <v>30</v>
      </c>
      <c r="H420">
        <v>1</v>
      </c>
      <c r="I420">
        <v>0</v>
      </c>
      <c r="J420" t="s">
        <v>27</v>
      </c>
      <c r="K420">
        <f>world_cup_matches9[[#This Row],[Home Goals]]+world_cup_matches9[[#This Row],[Away Goals]]</f>
        <v>1</v>
      </c>
      <c r="L420" t="s">
        <v>132</v>
      </c>
      <c r="M4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0" t="b">
        <v>1</v>
      </c>
    </row>
    <row r="421" spans="1:14" x14ac:dyDescent="0.3">
      <c r="A421">
        <v>628</v>
      </c>
      <c r="B421">
        <v>2002</v>
      </c>
      <c r="C421" s="2">
        <v>37421</v>
      </c>
      <c r="D421" s="3" cm="1">
        <f t="array" ref="D4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1" t="s">
        <v>38</v>
      </c>
      <c r="F421" t="str">
        <f>IF((world_cup_matches9[[#This Row],[StageOrder]]&gt;=7),"High Pressure","Low Pressure")</f>
        <v>Low Pressure</v>
      </c>
      <c r="G421" t="s">
        <v>10</v>
      </c>
      <c r="H421">
        <v>3</v>
      </c>
      <c r="I421">
        <v>1</v>
      </c>
      <c r="J421" t="s">
        <v>5</v>
      </c>
      <c r="K421">
        <f>world_cup_matches9[[#This Row],[Home Goals]]+world_cup_matches9[[#This Row],[Away Goals]]</f>
        <v>4</v>
      </c>
      <c r="L421" t="s">
        <v>132</v>
      </c>
      <c r="M4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1" t="b">
        <v>0</v>
      </c>
    </row>
    <row r="422" spans="1:14" x14ac:dyDescent="0.3">
      <c r="A422">
        <v>645</v>
      </c>
      <c r="B422">
        <v>2006</v>
      </c>
      <c r="C422" s="2">
        <v>38877</v>
      </c>
      <c r="D422" s="3" cm="1">
        <f t="array" ref="D4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2" t="s">
        <v>38</v>
      </c>
      <c r="F422" t="str">
        <f>IF((world_cup_matches9[[#This Row],[StageOrder]]&gt;=7),"High Pressure","Low Pressure")</f>
        <v>Low Pressure</v>
      </c>
      <c r="G422" t="s">
        <v>17</v>
      </c>
      <c r="H422">
        <v>4</v>
      </c>
      <c r="I422">
        <v>2</v>
      </c>
      <c r="J422" t="s">
        <v>16</v>
      </c>
      <c r="K422">
        <f>world_cup_matches9[[#This Row],[Home Goals]]+world_cup_matches9[[#This Row],[Away Goals]]</f>
        <v>6</v>
      </c>
      <c r="L422" t="s">
        <v>132</v>
      </c>
      <c r="M4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2" t="b">
        <v>1</v>
      </c>
    </row>
    <row r="423" spans="1:14" x14ac:dyDescent="0.3">
      <c r="A423">
        <v>646</v>
      </c>
      <c r="B423">
        <v>2006</v>
      </c>
      <c r="C423" s="2">
        <v>38877</v>
      </c>
      <c r="D423" s="3" cm="1">
        <f t="array" ref="D4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3" t="s">
        <v>38</v>
      </c>
      <c r="F423" t="str">
        <f>IF((world_cup_matches9[[#This Row],[StageOrder]]&gt;=7),"High Pressure","Low Pressure")</f>
        <v>Low Pressure</v>
      </c>
      <c r="G423" t="s">
        <v>10</v>
      </c>
      <c r="H423">
        <v>0</v>
      </c>
      <c r="I423">
        <v>2</v>
      </c>
      <c r="J423" t="s">
        <v>0</v>
      </c>
      <c r="K423">
        <f>world_cup_matches9[[#This Row],[Home Goals]]+world_cup_matches9[[#This Row],[Away Goals]]</f>
        <v>2</v>
      </c>
      <c r="L423" t="s">
        <v>132</v>
      </c>
      <c r="M4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3" t="b">
        <v>0</v>
      </c>
    </row>
    <row r="424" spans="1:14" x14ac:dyDescent="0.3">
      <c r="A424">
        <v>647</v>
      </c>
      <c r="B424">
        <v>2006</v>
      </c>
      <c r="C424" s="2">
        <v>38878</v>
      </c>
      <c r="D424" s="3" cm="1">
        <f t="array" ref="D4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4" t="s">
        <v>38</v>
      </c>
      <c r="F424" t="str">
        <f>IF((world_cup_matches9[[#This Row],[StageOrder]]&gt;=7),"High Pressure","Low Pressure")</f>
        <v>Low Pressure</v>
      </c>
      <c r="G424" t="s">
        <v>3</v>
      </c>
      <c r="H424">
        <v>1</v>
      </c>
      <c r="I424">
        <v>0</v>
      </c>
      <c r="J424" t="s">
        <v>65</v>
      </c>
      <c r="K424">
        <f>world_cup_matches9[[#This Row],[Home Goals]]+world_cup_matches9[[#This Row],[Away Goals]]</f>
        <v>1</v>
      </c>
      <c r="L424" t="s">
        <v>132</v>
      </c>
      <c r="M4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4" t="b">
        <v>0</v>
      </c>
    </row>
    <row r="425" spans="1:14" x14ac:dyDescent="0.3">
      <c r="A425">
        <v>648</v>
      </c>
      <c r="B425">
        <v>2006</v>
      </c>
      <c r="C425" s="2">
        <v>38878</v>
      </c>
      <c r="D425" s="3" cm="1">
        <f t="array" ref="D4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5" t="s">
        <v>38</v>
      </c>
      <c r="F425" t="str">
        <f>IF((world_cup_matches9[[#This Row],[StageOrder]]&gt;=7),"High Pressure","Low Pressure")</f>
        <v>Low Pressure</v>
      </c>
      <c r="G425" t="s">
        <v>90</v>
      </c>
      <c r="H425">
        <v>0</v>
      </c>
      <c r="I425">
        <v>0</v>
      </c>
      <c r="J425" t="s">
        <v>62</v>
      </c>
      <c r="K425">
        <f>world_cup_matches9[[#This Row],[Home Goals]]+world_cup_matches9[[#This Row],[Away Goals]]</f>
        <v>0</v>
      </c>
      <c r="L425" t="s">
        <v>132</v>
      </c>
      <c r="M4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5" t="b">
        <v>0</v>
      </c>
    </row>
    <row r="426" spans="1:14" x14ac:dyDescent="0.3">
      <c r="A426">
        <v>649</v>
      </c>
      <c r="B426">
        <v>2006</v>
      </c>
      <c r="C426" s="2">
        <v>38878</v>
      </c>
      <c r="D426" s="3" cm="1">
        <f t="array" ref="D4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6" t="s">
        <v>38</v>
      </c>
      <c r="F426" t="str">
        <f>IF((world_cup_matches9[[#This Row],[StageOrder]]&gt;=7),"High Pressure","Low Pressure")</f>
        <v>Low Pressure</v>
      </c>
      <c r="G426" t="s">
        <v>7</v>
      </c>
      <c r="H426">
        <v>2</v>
      </c>
      <c r="I426">
        <v>1</v>
      </c>
      <c r="J426" t="s">
        <v>86</v>
      </c>
      <c r="K426">
        <f>world_cup_matches9[[#This Row],[Home Goals]]+world_cup_matches9[[#This Row],[Away Goals]]</f>
        <v>3</v>
      </c>
      <c r="L426" t="s">
        <v>132</v>
      </c>
      <c r="M4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6" t="b">
        <v>0</v>
      </c>
    </row>
    <row r="427" spans="1:14" x14ac:dyDescent="0.3">
      <c r="A427">
        <v>650</v>
      </c>
      <c r="B427">
        <v>2006</v>
      </c>
      <c r="C427" s="2">
        <v>38879</v>
      </c>
      <c r="D427" s="3" cm="1">
        <f t="array" ref="D4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7" t="s">
        <v>38</v>
      </c>
      <c r="F427" t="str">
        <f>IF((world_cup_matches9[[#This Row],[StageOrder]]&gt;=7),"High Pressure","Low Pressure")</f>
        <v>Low Pressure</v>
      </c>
      <c r="G427" t="s">
        <v>24</v>
      </c>
      <c r="H427">
        <v>0</v>
      </c>
      <c r="I427">
        <v>1</v>
      </c>
      <c r="J427" t="s">
        <v>2</v>
      </c>
      <c r="K427">
        <f>world_cup_matches9[[#This Row],[Home Goals]]+world_cup_matches9[[#This Row],[Away Goals]]</f>
        <v>1</v>
      </c>
      <c r="L427" t="s">
        <v>132</v>
      </c>
      <c r="M4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7" t="b">
        <v>0</v>
      </c>
    </row>
    <row r="428" spans="1:14" x14ac:dyDescent="0.3">
      <c r="A428">
        <v>651</v>
      </c>
      <c r="B428">
        <v>2006</v>
      </c>
      <c r="C428" s="2">
        <v>38879</v>
      </c>
      <c r="D428" s="3" cm="1">
        <f t="array" ref="D4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8" t="s">
        <v>38</v>
      </c>
      <c r="F428" t="str">
        <f>IF((world_cup_matches9[[#This Row],[StageOrder]]&gt;=7),"High Pressure","Low Pressure")</f>
        <v>Low Pressure</v>
      </c>
      <c r="G428" t="s">
        <v>9</v>
      </c>
      <c r="H428">
        <v>3</v>
      </c>
      <c r="I428">
        <v>1</v>
      </c>
      <c r="J428" t="s">
        <v>4</v>
      </c>
      <c r="K428">
        <f>world_cup_matches9[[#This Row],[Home Goals]]+world_cup_matches9[[#This Row],[Away Goals]]</f>
        <v>4</v>
      </c>
      <c r="L428" t="s">
        <v>132</v>
      </c>
      <c r="M4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8" t="b">
        <v>0</v>
      </c>
    </row>
    <row r="429" spans="1:14" x14ac:dyDescent="0.3">
      <c r="A429">
        <v>652</v>
      </c>
      <c r="B429">
        <v>2006</v>
      </c>
      <c r="C429" s="2">
        <v>38879</v>
      </c>
      <c r="D429" s="3" cm="1">
        <f t="array" ref="D4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29" t="s">
        <v>38</v>
      </c>
      <c r="F429" t="str">
        <f>IF((world_cup_matches9[[#This Row],[StageOrder]]&gt;=7),"High Pressure","Low Pressure")</f>
        <v>Low Pressure</v>
      </c>
      <c r="G429" t="s">
        <v>92</v>
      </c>
      <c r="H429">
        <v>0</v>
      </c>
      <c r="I429">
        <v>1</v>
      </c>
      <c r="J429" t="s">
        <v>27</v>
      </c>
      <c r="K429">
        <f>world_cup_matches9[[#This Row],[Home Goals]]+world_cup_matches9[[#This Row],[Away Goals]]</f>
        <v>1</v>
      </c>
      <c r="L429" t="s">
        <v>132</v>
      </c>
      <c r="M4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29" t="b">
        <v>0</v>
      </c>
    </row>
    <row r="430" spans="1:14" x14ac:dyDescent="0.3">
      <c r="A430">
        <v>653</v>
      </c>
      <c r="B430">
        <v>2006</v>
      </c>
      <c r="C430" s="2">
        <v>38880</v>
      </c>
      <c r="D430" s="3" cm="1">
        <f t="array" ref="D4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0" t="s">
        <v>38</v>
      </c>
      <c r="F430" t="str">
        <f>IF((world_cup_matches9[[#This Row],[StageOrder]]&gt;=7),"High Pressure","Low Pressure")</f>
        <v>Low Pressure</v>
      </c>
      <c r="G430" t="s">
        <v>12</v>
      </c>
      <c r="H430">
        <v>3</v>
      </c>
      <c r="I430">
        <v>1</v>
      </c>
      <c r="J430" t="s">
        <v>18</v>
      </c>
      <c r="K430">
        <f>world_cup_matches9[[#This Row],[Home Goals]]+world_cup_matches9[[#This Row],[Away Goals]]</f>
        <v>4</v>
      </c>
      <c r="L430" t="s">
        <v>132</v>
      </c>
      <c r="M4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0" t="b">
        <v>0</v>
      </c>
    </row>
    <row r="431" spans="1:14" x14ac:dyDescent="0.3">
      <c r="A431">
        <v>654</v>
      </c>
      <c r="B431">
        <v>2006</v>
      </c>
      <c r="C431" s="2">
        <v>38880</v>
      </c>
      <c r="D431" s="3" cm="1">
        <f t="array" ref="D4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1" t="s">
        <v>38</v>
      </c>
      <c r="F431" t="str">
        <f>IF((world_cup_matches9[[#This Row],[StageOrder]]&gt;=7),"High Pressure","Low Pressure")</f>
        <v>Low Pressure</v>
      </c>
      <c r="G431" t="s">
        <v>5</v>
      </c>
      <c r="H431">
        <v>0</v>
      </c>
      <c r="I431">
        <v>3</v>
      </c>
      <c r="J431" t="s">
        <v>95</v>
      </c>
      <c r="K431">
        <f>world_cup_matches9[[#This Row],[Home Goals]]+world_cup_matches9[[#This Row],[Away Goals]]</f>
        <v>3</v>
      </c>
      <c r="L431" t="s">
        <v>132</v>
      </c>
      <c r="M4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1" t="b">
        <v>0</v>
      </c>
    </row>
    <row r="432" spans="1:14" x14ac:dyDescent="0.3">
      <c r="A432">
        <v>655</v>
      </c>
      <c r="B432">
        <v>2006</v>
      </c>
      <c r="C432" s="2">
        <v>38880</v>
      </c>
      <c r="D432" s="3" cm="1">
        <f t="array" ref="D4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2" t="s">
        <v>38</v>
      </c>
      <c r="F432" t="str">
        <f>IF((world_cup_matches9[[#This Row],[StageOrder]]&gt;=7),"High Pressure","Low Pressure")</f>
        <v>Low Pressure</v>
      </c>
      <c r="G432" t="s">
        <v>46</v>
      </c>
      <c r="H432">
        <v>2</v>
      </c>
      <c r="I432">
        <v>0</v>
      </c>
      <c r="J432" t="s">
        <v>28</v>
      </c>
      <c r="K432">
        <f>world_cup_matches9[[#This Row],[Home Goals]]+world_cup_matches9[[#This Row],[Away Goals]]</f>
        <v>2</v>
      </c>
      <c r="L432" t="s">
        <v>132</v>
      </c>
      <c r="M4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2" t="b">
        <v>0</v>
      </c>
    </row>
    <row r="433" spans="1:14" x14ac:dyDescent="0.3">
      <c r="A433">
        <v>656</v>
      </c>
      <c r="B433">
        <v>2006</v>
      </c>
      <c r="C433" s="2">
        <v>38881</v>
      </c>
      <c r="D433" s="3" cm="1">
        <f t="array" ref="D4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3" t="s">
        <v>38</v>
      </c>
      <c r="F433" t="str">
        <f>IF((world_cup_matches9[[#This Row],[StageOrder]]&gt;=7),"High Pressure","Low Pressure")</f>
        <v>Low Pressure</v>
      </c>
      <c r="G433" t="s">
        <v>30</v>
      </c>
      <c r="H433">
        <v>2</v>
      </c>
      <c r="I433">
        <v>1</v>
      </c>
      <c r="J433" t="s">
        <v>84</v>
      </c>
      <c r="K433">
        <f>world_cup_matches9[[#This Row],[Home Goals]]+world_cup_matches9[[#This Row],[Away Goals]]</f>
        <v>3</v>
      </c>
      <c r="L433" t="s">
        <v>132</v>
      </c>
      <c r="M4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3" t="b">
        <v>0</v>
      </c>
    </row>
    <row r="434" spans="1:14" x14ac:dyDescent="0.3">
      <c r="A434">
        <v>657</v>
      </c>
      <c r="B434">
        <v>2006</v>
      </c>
      <c r="C434" s="2">
        <v>38881</v>
      </c>
      <c r="D434" s="3" cm="1">
        <f t="array" ref="D4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4" t="s">
        <v>38</v>
      </c>
      <c r="F434" t="str">
        <f>IF((world_cup_matches9[[#This Row],[StageOrder]]&gt;=7),"High Pressure","Low Pressure")</f>
        <v>Low Pressure</v>
      </c>
      <c r="G434" t="s">
        <v>11</v>
      </c>
      <c r="H434">
        <v>0</v>
      </c>
      <c r="I434">
        <v>0</v>
      </c>
      <c r="J434" t="s">
        <v>25</v>
      </c>
      <c r="K434">
        <f>world_cup_matches9[[#This Row],[Home Goals]]+world_cup_matches9[[#This Row],[Away Goals]]</f>
        <v>0</v>
      </c>
      <c r="L434" t="s">
        <v>132</v>
      </c>
      <c r="M4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4" t="b">
        <v>0</v>
      </c>
    </row>
    <row r="435" spans="1:14" x14ac:dyDescent="0.3">
      <c r="A435">
        <v>658</v>
      </c>
      <c r="B435">
        <v>2006</v>
      </c>
      <c r="C435" s="2">
        <v>38881</v>
      </c>
      <c r="D435" s="3" cm="1">
        <f t="array" ref="D4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5" t="s">
        <v>38</v>
      </c>
      <c r="F435" t="str">
        <f>IF((world_cup_matches9[[#This Row],[StageOrder]]&gt;=7),"High Pressure","Low Pressure")</f>
        <v>Low Pressure</v>
      </c>
      <c r="G435" t="s">
        <v>23</v>
      </c>
      <c r="H435">
        <v>1</v>
      </c>
      <c r="I435">
        <v>0</v>
      </c>
      <c r="J435" t="s">
        <v>22</v>
      </c>
      <c r="K435">
        <f>world_cup_matches9[[#This Row],[Home Goals]]+world_cup_matches9[[#This Row],[Away Goals]]</f>
        <v>1</v>
      </c>
      <c r="L435" t="s">
        <v>132</v>
      </c>
      <c r="M4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5" t="b">
        <v>0</v>
      </c>
    </row>
    <row r="436" spans="1:14" x14ac:dyDescent="0.3">
      <c r="A436">
        <v>659</v>
      </c>
      <c r="B436">
        <v>2006</v>
      </c>
      <c r="C436" s="2">
        <v>38882</v>
      </c>
      <c r="D436" s="3" cm="1">
        <f t="array" ref="D4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6" t="s">
        <v>38</v>
      </c>
      <c r="F436" t="str">
        <f>IF((world_cup_matches9[[#This Row],[StageOrder]]&gt;=7),"High Pressure","Low Pressure")</f>
        <v>Low Pressure</v>
      </c>
      <c r="G436" t="s">
        <v>15</v>
      </c>
      <c r="H436">
        <v>4</v>
      </c>
      <c r="I436">
        <v>0</v>
      </c>
      <c r="J436" t="s">
        <v>94</v>
      </c>
      <c r="K436">
        <f>world_cup_matches9[[#This Row],[Home Goals]]+world_cup_matches9[[#This Row],[Away Goals]]</f>
        <v>4</v>
      </c>
      <c r="L436" t="s">
        <v>132</v>
      </c>
      <c r="M4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6" t="b">
        <v>0</v>
      </c>
    </row>
    <row r="437" spans="1:14" x14ac:dyDescent="0.3">
      <c r="A437">
        <v>660</v>
      </c>
      <c r="B437">
        <v>2006</v>
      </c>
      <c r="C437" s="2">
        <v>38882</v>
      </c>
      <c r="D437" s="3" cm="1">
        <f t="array" ref="D4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7" t="s">
        <v>38</v>
      </c>
      <c r="F437" t="str">
        <f>IF((world_cup_matches9[[#This Row],[StageOrder]]&gt;=7),"High Pressure","Low Pressure")</f>
        <v>Low Pressure</v>
      </c>
      <c r="G437" t="s">
        <v>14</v>
      </c>
      <c r="H437">
        <v>2</v>
      </c>
      <c r="I437">
        <v>2</v>
      </c>
      <c r="J437" t="s">
        <v>8</v>
      </c>
      <c r="K437">
        <f>world_cup_matches9[[#This Row],[Home Goals]]+world_cup_matches9[[#This Row],[Away Goals]]</f>
        <v>4</v>
      </c>
      <c r="L437" t="s">
        <v>132</v>
      </c>
      <c r="M4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7" t="b">
        <v>0</v>
      </c>
    </row>
    <row r="438" spans="1:14" x14ac:dyDescent="0.3">
      <c r="A438">
        <v>661</v>
      </c>
      <c r="B438">
        <v>2006</v>
      </c>
      <c r="C438" s="2">
        <v>38882</v>
      </c>
      <c r="D438" s="3" cm="1">
        <f t="array" ref="D4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8" t="s">
        <v>38</v>
      </c>
      <c r="F438" t="str">
        <f>IF((world_cup_matches9[[#This Row],[StageOrder]]&gt;=7),"High Pressure","Low Pressure")</f>
        <v>Low Pressure</v>
      </c>
      <c r="G438" t="s">
        <v>17</v>
      </c>
      <c r="H438">
        <v>1</v>
      </c>
      <c r="I438">
        <v>0</v>
      </c>
      <c r="J438" t="s">
        <v>10</v>
      </c>
      <c r="K438">
        <f>world_cup_matches9[[#This Row],[Home Goals]]+world_cup_matches9[[#This Row],[Away Goals]]</f>
        <v>1</v>
      </c>
      <c r="L438" t="s">
        <v>132</v>
      </c>
      <c r="M4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8" t="b">
        <v>1</v>
      </c>
    </row>
    <row r="439" spans="1:14" x14ac:dyDescent="0.3">
      <c r="A439">
        <v>662</v>
      </c>
      <c r="B439">
        <v>2006</v>
      </c>
      <c r="C439" s="2">
        <v>38883</v>
      </c>
      <c r="D439" s="3" cm="1">
        <f t="array" ref="D4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39" t="s">
        <v>38</v>
      </c>
      <c r="F439" t="str">
        <f>IF((world_cup_matches9[[#This Row],[StageOrder]]&gt;=7),"High Pressure","Low Pressure")</f>
        <v>Low Pressure</v>
      </c>
      <c r="G439" t="s">
        <v>0</v>
      </c>
      <c r="H439">
        <v>3</v>
      </c>
      <c r="I439">
        <v>0</v>
      </c>
      <c r="J439" t="s">
        <v>16</v>
      </c>
      <c r="K439">
        <f>world_cup_matches9[[#This Row],[Home Goals]]+world_cup_matches9[[#This Row],[Away Goals]]</f>
        <v>3</v>
      </c>
      <c r="L439" t="s">
        <v>132</v>
      </c>
      <c r="M4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39" t="b">
        <v>0</v>
      </c>
    </row>
    <row r="440" spans="1:14" x14ac:dyDescent="0.3">
      <c r="A440">
        <v>663</v>
      </c>
      <c r="B440">
        <v>2006</v>
      </c>
      <c r="C440" s="2">
        <v>38883</v>
      </c>
      <c r="D440" s="3" cm="1">
        <f t="array" ref="D4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0" t="s">
        <v>38</v>
      </c>
      <c r="F440" t="str">
        <f>IF((world_cup_matches9[[#This Row],[StageOrder]]&gt;=7),"High Pressure","Low Pressure")</f>
        <v>Low Pressure</v>
      </c>
      <c r="G440" t="s">
        <v>3</v>
      </c>
      <c r="H440">
        <v>2</v>
      </c>
      <c r="I440">
        <v>0</v>
      </c>
      <c r="J440" t="s">
        <v>90</v>
      </c>
      <c r="K440">
        <f>world_cup_matches9[[#This Row],[Home Goals]]+world_cup_matches9[[#This Row],[Away Goals]]</f>
        <v>2</v>
      </c>
      <c r="L440" t="s">
        <v>132</v>
      </c>
      <c r="M4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0" t="b">
        <v>0</v>
      </c>
    </row>
    <row r="441" spans="1:14" x14ac:dyDescent="0.3">
      <c r="A441">
        <v>664</v>
      </c>
      <c r="B441">
        <v>2006</v>
      </c>
      <c r="C441" s="2">
        <v>38883</v>
      </c>
      <c r="D441" s="3" cm="1">
        <f t="array" ref="D4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1" t="s">
        <v>38</v>
      </c>
      <c r="F441" t="str">
        <f>IF((world_cup_matches9[[#This Row],[StageOrder]]&gt;=7),"High Pressure","Low Pressure")</f>
        <v>Low Pressure</v>
      </c>
      <c r="G441" t="s">
        <v>62</v>
      </c>
      <c r="H441">
        <v>1</v>
      </c>
      <c r="I441">
        <v>0</v>
      </c>
      <c r="J441" t="s">
        <v>65</v>
      </c>
      <c r="K441">
        <f>world_cup_matches9[[#This Row],[Home Goals]]+world_cup_matches9[[#This Row],[Away Goals]]</f>
        <v>1</v>
      </c>
      <c r="L441" t="s">
        <v>132</v>
      </c>
      <c r="M4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1" t="b">
        <v>0</v>
      </c>
    </row>
    <row r="442" spans="1:14" x14ac:dyDescent="0.3">
      <c r="A442">
        <v>665</v>
      </c>
      <c r="B442">
        <v>2006</v>
      </c>
      <c r="C442" s="2">
        <v>38884</v>
      </c>
      <c r="D442" s="3" cm="1">
        <f t="array" ref="D4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2" t="s">
        <v>38</v>
      </c>
      <c r="F442" t="str">
        <f>IF((world_cup_matches9[[#This Row],[StageOrder]]&gt;=7),"High Pressure","Low Pressure")</f>
        <v>Low Pressure</v>
      </c>
      <c r="G442" t="s">
        <v>7</v>
      </c>
      <c r="H442">
        <v>6</v>
      </c>
      <c r="I442">
        <v>0</v>
      </c>
      <c r="J442" t="s">
        <v>24</v>
      </c>
      <c r="K442">
        <f>world_cup_matches9[[#This Row],[Home Goals]]+world_cup_matches9[[#This Row],[Away Goals]]</f>
        <v>6</v>
      </c>
      <c r="L442" t="s">
        <v>132</v>
      </c>
      <c r="M4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2" t="b">
        <v>0</v>
      </c>
    </row>
    <row r="443" spans="1:14" x14ac:dyDescent="0.3">
      <c r="A443">
        <v>666</v>
      </c>
      <c r="B443">
        <v>2006</v>
      </c>
      <c r="C443" s="2">
        <v>38884</v>
      </c>
      <c r="D443" s="3" cm="1">
        <f t="array" ref="D4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3" t="s">
        <v>38</v>
      </c>
      <c r="F443" t="str">
        <f>IF((world_cup_matches9[[#This Row],[StageOrder]]&gt;=7),"High Pressure","Low Pressure")</f>
        <v>Low Pressure</v>
      </c>
      <c r="G443" t="s">
        <v>2</v>
      </c>
      <c r="H443">
        <v>2</v>
      </c>
      <c r="I443">
        <v>1</v>
      </c>
      <c r="J443" t="s">
        <v>86</v>
      </c>
      <c r="K443">
        <f>world_cup_matches9[[#This Row],[Home Goals]]+world_cup_matches9[[#This Row],[Away Goals]]</f>
        <v>3</v>
      </c>
      <c r="L443" t="s">
        <v>132</v>
      </c>
      <c r="M4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3" t="b">
        <v>0</v>
      </c>
    </row>
    <row r="444" spans="1:14" x14ac:dyDescent="0.3">
      <c r="A444">
        <v>667</v>
      </c>
      <c r="B444">
        <v>2006</v>
      </c>
      <c r="C444" s="2">
        <v>38884</v>
      </c>
      <c r="D444" s="3" cm="1">
        <f t="array" ref="D4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4" t="s">
        <v>38</v>
      </c>
      <c r="F444" t="str">
        <f>IF((world_cup_matches9[[#This Row],[StageOrder]]&gt;=7),"High Pressure","Low Pressure")</f>
        <v>Low Pressure</v>
      </c>
      <c r="G444" t="s">
        <v>9</v>
      </c>
      <c r="H444">
        <v>0</v>
      </c>
      <c r="I444">
        <v>0</v>
      </c>
      <c r="J444" t="s">
        <v>92</v>
      </c>
      <c r="K444">
        <f>world_cup_matches9[[#This Row],[Home Goals]]+world_cup_matches9[[#This Row],[Away Goals]]</f>
        <v>0</v>
      </c>
      <c r="L444" t="s">
        <v>132</v>
      </c>
      <c r="M4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4" t="b">
        <v>0</v>
      </c>
    </row>
    <row r="445" spans="1:14" x14ac:dyDescent="0.3">
      <c r="A445">
        <v>668</v>
      </c>
      <c r="B445">
        <v>2006</v>
      </c>
      <c r="C445" s="2">
        <v>38885</v>
      </c>
      <c r="D445" s="3" cm="1">
        <f t="array" ref="D4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5" t="s">
        <v>38</v>
      </c>
      <c r="F445" t="str">
        <f>IF((world_cup_matches9[[#This Row],[StageOrder]]&gt;=7),"High Pressure","Low Pressure")</f>
        <v>Low Pressure</v>
      </c>
      <c r="G445" t="s">
        <v>27</v>
      </c>
      <c r="H445">
        <v>2</v>
      </c>
      <c r="I445">
        <v>0</v>
      </c>
      <c r="J445" t="s">
        <v>4</v>
      </c>
      <c r="K445">
        <f>world_cup_matches9[[#This Row],[Home Goals]]+world_cup_matches9[[#This Row],[Away Goals]]</f>
        <v>2</v>
      </c>
      <c r="L445" t="s">
        <v>132</v>
      </c>
      <c r="M4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5" t="b">
        <v>0</v>
      </c>
    </row>
    <row r="446" spans="1:14" x14ac:dyDescent="0.3">
      <c r="A446">
        <v>669</v>
      </c>
      <c r="B446">
        <v>2006</v>
      </c>
      <c r="C446" s="2">
        <v>38885</v>
      </c>
      <c r="D446" s="3" cm="1">
        <f t="array" ref="D4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6" t="s">
        <v>38</v>
      </c>
      <c r="F446" t="str">
        <f>IF((world_cup_matches9[[#This Row],[StageOrder]]&gt;=7),"High Pressure","Low Pressure")</f>
        <v>Low Pressure</v>
      </c>
      <c r="G446" t="s">
        <v>95</v>
      </c>
      <c r="H446">
        <v>0</v>
      </c>
      <c r="I446">
        <v>2</v>
      </c>
      <c r="J446" t="s">
        <v>28</v>
      </c>
      <c r="K446">
        <f>world_cup_matches9[[#This Row],[Home Goals]]+world_cup_matches9[[#This Row],[Away Goals]]</f>
        <v>2</v>
      </c>
      <c r="L446" t="s">
        <v>132</v>
      </c>
      <c r="M4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6" t="b">
        <v>0</v>
      </c>
    </row>
    <row r="447" spans="1:14" x14ac:dyDescent="0.3">
      <c r="A447">
        <v>670</v>
      </c>
      <c r="B447">
        <v>2006</v>
      </c>
      <c r="C447" s="2">
        <v>38885</v>
      </c>
      <c r="D447" s="3" cm="1">
        <f t="array" ref="D4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7" t="s">
        <v>38</v>
      </c>
      <c r="F447" t="str">
        <f>IF((world_cup_matches9[[#This Row],[StageOrder]]&gt;=7),"High Pressure","Low Pressure")</f>
        <v>Low Pressure</v>
      </c>
      <c r="G447" t="s">
        <v>46</v>
      </c>
      <c r="H447">
        <v>1</v>
      </c>
      <c r="I447">
        <v>1</v>
      </c>
      <c r="J447" t="s">
        <v>5</v>
      </c>
      <c r="K447">
        <f>world_cup_matches9[[#This Row],[Home Goals]]+world_cup_matches9[[#This Row],[Away Goals]]</f>
        <v>2</v>
      </c>
      <c r="L447" t="s">
        <v>132</v>
      </c>
      <c r="M4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7" t="b">
        <v>0</v>
      </c>
    </row>
    <row r="448" spans="1:14" x14ac:dyDescent="0.3">
      <c r="A448">
        <v>671</v>
      </c>
      <c r="B448">
        <v>2006</v>
      </c>
      <c r="C448" s="2">
        <v>38886</v>
      </c>
      <c r="D448" s="3" cm="1">
        <f t="array" ref="D4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8" t="s">
        <v>38</v>
      </c>
      <c r="F448" t="str">
        <f>IF((world_cup_matches9[[#This Row],[StageOrder]]&gt;=7),"High Pressure","Low Pressure")</f>
        <v>Low Pressure</v>
      </c>
      <c r="G448" t="s">
        <v>18</v>
      </c>
      <c r="H448">
        <v>0</v>
      </c>
      <c r="I448">
        <v>0</v>
      </c>
      <c r="J448" t="s">
        <v>22</v>
      </c>
      <c r="K448">
        <f>world_cup_matches9[[#This Row],[Home Goals]]+world_cup_matches9[[#This Row],[Away Goals]]</f>
        <v>0</v>
      </c>
      <c r="L448" t="s">
        <v>132</v>
      </c>
      <c r="M4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8" t="b">
        <v>0</v>
      </c>
    </row>
    <row r="449" spans="1:14" x14ac:dyDescent="0.3">
      <c r="A449">
        <v>672</v>
      </c>
      <c r="B449">
        <v>2006</v>
      </c>
      <c r="C449" s="2">
        <v>38886</v>
      </c>
      <c r="D449" s="3" cm="1">
        <f t="array" ref="D4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49" t="s">
        <v>38</v>
      </c>
      <c r="F449" t="str">
        <f>IF((world_cup_matches9[[#This Row],[StageOrder]]&gt;=7),"High Pressure","Low Pressure")</f>
        <v>Low Pressure</v>
      </c>
      <c r="G449" t="s">
        <v>23</v>
      </c>
      <c r="H449">
        <v>2</v>
      </c>
      <c r="I449">
        <v>0</v>
      </c>
      <c r="J449" t="s">
        <v>12</v>
      </c>
      <c r="K449">
        <f>world_cup_matches9[[#This Row],[Home Goals]]+world_cup_matches9[[#This Row],[Away Goals]]</f>
        <v>2</v>
      </c>
      <c r="L449" t="s">
        <v>132</v>
      </c>
      <c r="M4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49" t="b">
        <v>0</v>
      </c>
    </row>
    <row r="450" spans="1:14" x14ac:dyDescent="0.3">
      <c r="A450">
        <v>673</v>
      </c>
      <c r="B450">
        <v>2006</v>
      </c>
      <c r="C450" s="2">
        <v>38886</v>
      </c>
      <c r="D450" s="3" cm="1">
        <f t="array" ref="D4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0" t="s">
        <v>38</v>
      </c>
      <c r="F450" t="str">
        <f>IF((world_cup_matches9[[#This Row],[StageOrder]]&gt;=7),"High Pressure","Low Pressure")</f>
        <v>Low Pressure</v>
      </c>
      <c r="G450" t="s">
        <v>11</v>
      </c>
      <c r="H450">
        <v>1</v>
      </c>
      <c r="I450">
        <v>1</v>
      </c>
      <c r="J450" t="s">
        <v>30</v>
      </c>
      <c r="K450">
        <f>world_cup_matches9[[#This Row],[Home Goals]]+world_cup_matches9[[#This Row],[Away Goals]]</f>
        <v>2</v>
      </c>
      <c r="L450" t="s">
        <v>132</v>
      </c>
      <c r="M4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0" t="b">
        <v>0</v>
      </c>
    </row>
    <row r="451" spans="1:14" x14ac:dyDescent="0.3">
      <c r="A451">
        <v>674</v>
      </c>
      <c r="B451">
        <v>2006</v>
      </c>
      <c r="C451" s="2">
        <v>38887</v>
      </c>
      <c r="D451" s="3" cm="1">
        <f t="array" ref="D4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1" t="s">
        <v>38</v>
      </c>
      <c r="F451" t="str">
        <f>IF((world_cup_matches9[[#This Row],[StageOrder]]&gt;=7),"High Pressure","Low Pressure")</f>
        <v>Low Pressure</v>
      </c>
      <c r="G451" t="s">
        <v>84</v>
      </c>
      <c r="H451">
        <v>0</v>
      </c>
      <c r="I451">
        <v>2</v>
      </c>
      <c r="J451" t="s">
        <v>25</v>
      </c>
      <c r="K451">
        <f>world_cup_matches9[[#This Row],[Home Goals]]+world_cup_matches9[[#This Row],[Away Goals]]</f>
        <v>2</v>
      </c>
      <c r="L451" t="s">
        <v>132</v>
      </c>
      <c r="M4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1" t="b">
        <v>0</v>
      </c>
    </row>
    <row r="452" spans="1:14" x14ac:dyDescent="0.3">
      <c r="A452">
        <v>675</v>
      </c>
      <c r="B452">
        <v>2006</v>
      </c>
      <c r="C452" s="2">
        <v>38887</v>
      </c>
      <c r="D452" s="3" cm="1">
        <f t="array" ref="D4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2" t="s">
        <v>38</v>
      </c>
      <c r="F452" t="str">
        <f>IF((world_cup_matches9[[#This Row],[StageOrder]]&gt;=7),"High Pressure","Low Pressure")</f>
        <v>Low Pressure</v>
      </c>
      <c r="G452" t="s">
        <v>8</v>
      </c>
      <c r="H452">
        <v>0</v>
      </c>
      <c r="I452">
        <v>4</v>
      </c>
      <c r="J452" t="s">
        <v>94</v>
      </c>
      <c r="K452">
        <f>world_cup_matches9[[#This Row],[Home Goals]]+world_cup_matches9[[#This Row],[Away Goals]]</f>
        <v>4</v>
      </c>
      <c r="L452" t="s">
        <v>132</v>
      </c>
      <c r="M4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2" t="b">
        <v>0</v>
      </c>
    </row>
    <row r="453" spans="1:14" x14ac:dyDescent="0.3">
      <c r="A453">
        <v>676</v>
      </c>
      <c r="B453">
        <v>2006</v>
      </c>
      <c r="C453" s="2">
        <v>38887</v>
      </c>
      <c r="D453" s="3" cm="1">
        <f t="array" ref="D4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3" t="s">
        <v>38</v>
      </c>
      <c r="F453" t="str">
        <f>IF((world_cup_matches9[[#This Row],[StageOrder]]&gt;=7),"High Pressure","Low Pressure")</f>
        <v>Low Pressure</v>
      </c>
      <c r="G453" t="s">
        <v>15</v>
      </c>
      <c r="H453">
        <v>3</v>
      </c>
      <c r="I453">
        <v>1</v>
      </c>
      <c r="J453" t="s">
        <v>14</v>
      </c>
      <c r="K453">
        <f>world_cup_matches9[[#This Row],[Home Goals]]+world_cup_matches9[[#This Row],[Away Goals]]</f>
        <v>4</v>
      </c>
      <c r="L453" t="s">
        <v>132</v>
      </c>
      <c r="M4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3" t="b">
        <v>0</v>
      </c>
    </row>
    <row r="454" spans="1:14" x14ac:dyDescent="0.3">
      <c r="A454">
        <v>677</v>
      </c>
      <c r="B454">
        <v>2006</v>
      </c>
      <c r="C454" s="2">
        <v>38888</v>
      </c>
      <c r="D454" s="3" cm="1">
        <f t="array" ref="D4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4" t="s">
        <v>38</v>
      </c>
      <c r="F454" t="str">
        <f>IF((world_cup_matches9[[#This Row],[StageOrder]]&gt;=7),"High Pressure","Low Pressure")</f>
        <v>Low Pressure</v>
      </c>
      <c r="G454" t="s">
        <v>17</v>
      </c>
      <c r="H454">
        <v>3</v>
      </c>
      <c r="I454">
        <v>0</v>
      </c>
      <c r="J454" t="s">
        <v>0</v>
      </c>
      <c r="K454">
        <f>world_cup_matches9[[#This Row],[Home Goals]]+world_cup_matches9[[#This Row],[Away Goals]]</f>
        <v>3</v>
      </c>
      <c r="L454" t="s">
        <v>132</v>
      </c>
      <c r="M4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4" t="b">
        <v>1</v>
      </c>
    </row>
    <row r="455" spans="1:14" x14ac:dyDescent="0.3">
      <c r="A455">
        <v>678</v>
      </c>
      <c r="B455">
        <v>2006</v>
      </c>
      <c r="C455" s="2">
        <v>38888</v>
      </c>
      <c r="D455" s="3" cm="1">
        <f t="array" ref="D4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5" t="s">
        <v>38</v>
      </c>
      <c r="F455" t="str">
        <f>IF((world_cup_matches9[[#This Row],[StageOrder]]&gt;=7),"High Pressure","Low Pressure")</f>
        <v>Low Pressure</v>
      </c>
      <c r="G455" t="s">
        <v>16</v>
      </c>
      <c r="H455">
        <v>1</v>
      </c>
      <c r="I455">
        <v>2</v>
      </c>
      <c r="J455" t="s">
        <v>10</v>
      </c>
      <c r="K455">
        <f>world_cup_matches9[[#This Row],[Home Goals]]+world_cup_matches9[[#This Row],[Away Goals]]</f>
        <v>3</v>
      </c>
      <c r="L455" t="s">
        <v>132</v>
      </c>
      <c r="M4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5" t="b">
        <v>0</v>
      </c>
    </row>
    <row r="456" spans="1:14" x14ac:dyDescent="0.3">
      <c r="A456">
        <v>679</v>
      </c>
      <c r="B456">
        <v>2006</v>
      </c>
      <c r="C456" s="2">
        <v>38888</v>
      </c>
      <c r="D456" s="3" cm="1">
        <f t="array" ref="D4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6" t="s">
        <v>38</v>
      </c>
      <c r="F456" t="str">
        <f>IF((world_cup_matches9[[#This Row],[StageOrder]]&gt;=7),"High Pressure","Low Pressure")</f>
        <v>Low Pressure</v>
      </c>
      <c r="G456" t="s">
        <v>62</v>
      </c>
      <c r="H456">
        <v>2</v>
      </c>
      <c r="I456">
        <v>2</v>
      </c>
      <c r="J456" t="s">
        <v>3</v>
      </c>
      <c r="K456">
        <f>world_cup_matches9[[#This Row],[Home Goals]]+world_cup_matches9[[#This Row],[Away Goals]]</f>
        <v>4</v>
      </c>
      <c r="L456" t="s">
        <v>132</v>
      </c>
      <c r="M4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6" t="b">
        <v>0</v>
      </c>
    </row>
    <row r="457" spans="1:14" x14ac:dyDescent="0.3">
      <c r="A457">
        <v>680</v>
      </c>
      <c r="B457">
        <v>2006</v>
      </c>
      <c r="C457" s="2">
        <v>38888</v>
      </c>
      <c r="D457" s="3" cm="1">
        <f t="array" ref="D4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7" t="s">
        <v>38</v>
      </c>
      <c r="F457" t="str">
        <f>IF((world_cup_matches9[[#This Row],[StageOrder]]&gt;=7),"High Pressure","Low Pressure")</f>
        <v>Low Pressure</v>
      </c>
      <c r="G457" t="s">
        <v>65</v>
      </c>
      <c r="H457">
        <v>2</v>
      </c>
      <c r="I457">
        <v>0</v>
      </c>
      <c r="J457" t="s">
        <v>90</v>
      </c>
      <c r="K457">
        <f>world_cup_matches9[[#This Row],[Home Goals]]+world_cup_matches9[[#This Row],[Away Goals]]</f>
        <v>2</v>
      </c>
      <c r="L457" t="s">
        <v>132</v>
      </c>
      <c r="M4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7" t="b">
        <v>0</v>
      </c>
    </row>
    <row r="458" spans="1:14" x14ac:dyDescent="0.3">
      <c r="A458">
        <v>681</v>
      </c>
      <c r="B458">
        <v>2006</v>
      </c>
      <c r="C458" s="2">
        <v>38889</v>
      </c>
      <c r="D458" s="3" cm="1">
        <f t="array" ref="D4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8" t="s">
        <v>38</v>
      </c>
      <c r="F458" t="str">
        <f>IF((world_cup_matches9[[#This Row],[StageOrder]]&gt;=7),"High Pressure","Low Pressure")</f>
        <v>Low Pressure</v>
      </c>
      <c r="G458" t="s">
        <v>4</v>
      </c>
      <c r="H458">
        <v>1</v>
      </c>
      <c r="I458">
        <v>1</v>
      </c>
      <c r="J458" t="s">
        <v>92</v>
      </c>
      <c r="K458">
        <f>world_cup_matches9[[#This Row],[Home Goals]]+world_cup_matches9[[#This Row],[Away Goals]]</f>
        <v>2</v>
      </c>
      <c r="L458" t="s">
        <v>132</v>
      </c>
      <c r="M4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8" t="b">
        <v>0</v>
      </c>
    </row>
    <row r="459" spans="1:14" x14ac:dyDescent="0.3">
      <c r="A459">
        <v>682</v>
      </c>
      <c r="B459">
        <v>2006</v>
      </c>
      <c r="C459" s="2">
        <v>38889</v>
      </c>
      <c r="D459" s="3" cm="1">
        <f t="array" ref="D4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59" t="s">
        <v>38</v>
      </c>
      <c r="F459" t="str">
        <f>IF((world_cup_matches9[[#This Row],[StageOrder]]&gt;=7),"High Pressure","Low Pressure")</f>
        <v>Low Pressure</v>
      </c>
      <c r="G459" t="s">
        <v>27</v>
      </c>
      <c r="H459">
        <v>2</v>
      </c>
      <c r="I459">
        <v>1</v>
      </c>
      <c r="J459" t="s">
        <v>9</v>
      </c>
      <c r="K459">
        <f>world_cup_matches9[[#This Row],[Home Goals]]+world_cup_matches9[[#This Row],[Away Goals]]</f>
        <v>3</v>
      </c>
      <c r="L459" t="s">
        <v>132</v>
      </c>
      <c r="M4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59" t="b">
        <v>0</v>
      </c>
    </row>
    <row r="460" spans="1:14" x14ac:dyDescent="0.3">
      <c r="A460">
        <v>683</v>
      </c>
      <c r="B460">
        <v>2006</v>
      </c>
      <c r="C460" s="2">
        <v>38889</v>
      </c>
      <c r="D460" s="3" cm="1">
        <f t="array" ref="D4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0" t="s">
        <v>38</v>
      </c>
      <c r="F460" t="str">
        <f>IF((world_cup_matches9[[#This Row],[StageOrder]]&gt;=7),"High Pressure","Low Pressure")</f>
        <v>Low Pressure</v>
      </c>
      <c r="G460" t="s">
        <v>2</v>
      </c>
      <c r="H460">
        <v>0</v>
      </c>
      <c r="I460">
        <v>0</v>
      </c>
      <c r="J460" t="s">
        <v>7</v>
      </c>
      <c r="K460">
        <f>world_cup_matches9[[#This Row],[Home Goals]]+world_cup_matches9[[#This Row],[Away Goals]]</f>
        <v>0</v>
      </c>
      <c r="L460" t="s">
        <v>132</v>
      </c>
      <c r="M4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0" t="b">
        <v>0</v>
      </c>
    </row>
    <row r="461" spans="1:14" x14ac:dyDescent="0.3">
      <c r="A461">
        <v>684</v>
      </c>
      <c r="B461">
        <v>2006</v>
      </c>
      <c r="C461" s="2">
        <v>38889</v>
      </c>
      <c r="D461" s="3" cm="1">
        <f t="array" ref="D4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1" t="s">
        <v>38</v>
      </c>
      <c r="F461" t="str">
        <f>IF((world_cup_matches9[[#This Row],[StageOrder]]&gt;=7),"High Pressure","Low Pressure")</f>
        <v>Low Pressure</v>
      </c>
      <c r="G461" t="s">
        <v>86</v>
      </c>
      <c r="H461">
        <v>3</v>
      </c>
      <c r="I461">
        <v>2</v>
      </c>
      <c r="J461" t="s">
        <v>24</v>
      </c>
      <c r="K461">
        <f>world_cup_matches9[[#This Row],[Home Goals]]+world_cup_matches9[[#This Row],[Away Goals]]</f>
        <v>5</v>
      </c>
      <c r="L461" t="s">
        <v>132</v>
      </c>
      <c r="M4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1" t="b">
        <v>0</v>
      </c>
    </row>
    <row r="462" spans="1:14" x14ac:dyDescent="0.3">
      <c r="A462">
        <v>685</v>
      </c>
      <c r="B462">
        <v>2006</v>
      </c>
      <c r="C462" s="2">
        <v>38890</v>
      </c>
      <c r="D462" s="3" cm="1">
        <f t="array" ref="D4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2" t="s">
        <v>38</v>
      </c>
      <c r="F462" t="str">
        <f>IF((world_cup_matches9[[#This Row],[StageOrder]]&gt;=7),"High Pressure","Low Pressure")</f>
        <v>Low Pressure</v>
      </c>
      <c r="G462" t="s">
        <v>95</v>
      </c>
      <c r="H462">
        <v>0</v>
      </c>
      <c r="I462">
        <v>2</v>
      </c>
      <c r="J462" t="s">
        <v>46</v>
      </c>
      <c r="K462">
        <f>world_cup_matches9[[#This Row],[Home Goals]]+world_cup_matches9[[#This Row],[Away Goals]]</f>
        <v>2</v>
      </c>
      <c r="L462" t="s">
        <v>132</v>
      </c>
      <c r="M4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2" t="b">
        <v>0</v>
      </c>
    </row>
    <row r="463" spans="1:14" x14ac:dyDescent="0.3">
      <c r="A463">
        <v>686</v>
      </c>
      <c r="B463">
        <v>2006</v>
      </c>
      <c r="C463" s="2">
        <v>38890</v>
      </c>
      <c r="D463" s="3" cm="1">
        <f t="array" ref="D4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3" t="s">
        <v>38</v>
      </c>
      <c r="F463" t="str">
        <f>IF((world_cup_matches9[[#This Row],[StageOrder]]&gt;=7),"High Pressure","Low Pressure")</f>
        <v>Low Pressure</v>
      </c>
      <c r="G463" t="s">
        <v>28</v>
      </c>
      <c r="H463">
        <v>2</v>
      </c>
      <c r="I463">
        <v>1</v>
      </c>
      <c r="J463" t="s">
        <v>5</v>
      </c>
      <c r="K463">
        <f>world_cup_matches9[[#This Row],[Home Goals]]+world_cup_matches9[[#This Row],[Away Goals]]</f>
        <v>3</v>
      </c>
      <c r="L463" t="s">
        <v>132</v>
      </c>
      <c r="M4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3" t="b">
        <v>0</v>
      </c>
    </row>
    <row r="464" spans="1:14" x14ac:dyDescent="0.3">
      <c r="A464">
        <v>687</v>
      </c>
      <c r="B464">
        <v>2006</v>
      </c>
      <c r="C464" s="2">
        <v>38890</v>
      </c>
      <c r="D464" s="3" cm="1">
        <f t="array" ref="D4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4" t="s">
        <v>38</v>
      </c>
      <c r="F464" t="str">
        <f>IF((world_cup_matches9[[#This Row],[StageOrder]]&gt;=7),"High Pressure","Low Pressure")</f>
        <v>Low Pressure</v>
      </c>
      <c r="G464" t="s">
        <v>18</v>
      </c>
      <c r="H464">
        <v>1</v>
      </c>
      <c r="I464">
        <v>4</v>
      </c>
      <c r="J464" t="s">
        <v>23</v>
      </c>
      <c r="K464">
        <f>world_cup_matches9[[#This Row],[Home Goals]]+world_cup_matches9[[#This Row],[Away Goals]]</f>
        <v>5</v>
      </c>
      <c r="L464" t="s">
        <v>132</v>
      </c>
      <c r="M4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4" t="b">
        <v>0</v>
      </c>
    </row>
    <row r="465" spans="1:14" x14ac:dyDescent="0.3">
      <c r="A465">
        <v>688</v>
      </c>
      <c r="B465">
        <v>2006</v>
      </c>
      <c r="C465" s="2">
        <v>38890</v>
      </c>
      <c r="D465" s="3" cm="1">
        <f t="array" ref="D4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5" t="s">
        <v>38</v>
      </c>
      <c r="F465" t="str">
        <f>IF((world_cup_matches9[[#This Row],[StageOrder]]&gt;=7),"High Pressure","Low Pressure")</f>
        <v>Low Pressure</v>
      </c>
      <c r="G465" t="s">
        <v>22</v>
      </c>
      <c r="H465">
        <v>2</v>
      </c>
      <c r="I465">
        <v>2</v>
      </c>
      <c r="J465" t="s">
        <v>12</v>
      </c>
      <c r="K465">
        <f>world_cup_matches9[[#This Row],[Home Goals]]+world_cup_matches9[[#This Row],[Away Goals]]</f>
        <v>4</v>
      </c>
      <c r="L465" t="s">
        <v>132</v>
      </c>
      <c r="M4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5" t="b">
        <v>0</v>
      </c>
    </row>
    <row r="466" spans="1:14" x14ac:dyDescent="0.3">
      <c r="A466">
        <v>689</v>
      </c>
      <c r="B466">
        <v>2006</v>
      </c>
      <c r="C466" s="2">
        <v>38891</v>
      </c>
      <c r="D466" s="3" cm="1">
        <f t="array" ref="D4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6" t="s">
        <v>38</v>
      </c>
      <c r="F466" t="str">
        <f>IF((world_cup_matches9[[#This Row],[StageOrder]]&gt;=7),"High Pressure","Low Pressure")</f>
        <v>Low Pressure</v>
      </c>
      <c r="G466" t="s">
        <v>94</v>
      </c>
      <c r="H466">
        <v>1</v>
      </c>
      <c r="I466">
        <v>0</v>
      </c>
      <c r="J466" t="s">
        <v>14</v>
      </c>
      <c r="K466">
        <f>world_cup_matches9[[#This Row],[Home Goals]]+world_cup_matches9[[#This Row],[Away Goals]]</f>
        <v>1</v>
      </c>
      <c r="L466" t="s">
        <v>132</v>
      </c>
      <c r="M4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6" t="b">
        <v>0</v>
      </c>
    </row>
    <row r="467" spans="1:14" x14ac:dyDescent="0.3">
      <c r="A467">
        <v>690</v>
      </c>
      <c r="B467">
        <v>2006</v>
      </c>
      <c r="C467" s="2">
        <v>38891</v>
      </c>
      <c r="D467" s="3" cm="1">
        <f t="array" ref="D4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7" t="s">
        <v>38</v>
      </c>
      <c r="F467" t="str">
        <f>IF((world_cup_matches9[[#This Row],[StageOrder]]&gt;=7),"High Pressure","Low Pressure")</f>
        <v>Low Pressure</v>
      </c>
      <c r="G467" t="s">
        <v>8</v>
      </c>
      <c r="H467">
        <v>0</v>
      </c>
      <c r="I467">
        <v>1</v>
      </c>
      <c r="J467" t="s">
        <v>15</v>
      </c>
      <c r="K467">
        <f>world_cup_matches9[[#This Row],[Home Goals]]+world_cup_matches9[[#This Row],[Away Goals]]</f>
        <v>1</v>
      </c>
      <c r="L467" t="s">
        <v>132</v>
      </c>
      <c r="M4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7" t="b">
        <v>0</v>
      </c>
    </row>
    <row r="468" spans="1:14" x14ac:dyDescent="0.3">
      <c r="A468">
        <v>691</v>
      </c>
      <c r="B468">
        <v>2006</v>
      </c>
      <c r="C468" s="2">
        <v>38891</v>
      </c>
      <c r="D468" s="3" cm="1">
        <f t="array" ref="D4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8" t="s">
        <v>38</v>
      </c>
      <c r="F468" t="str">
        <f>IF((world_cup_matches9[[#This Row],[StageOrder]]&gt;=7),"High Pressure","Low Pressure")</f>
        <v>Low Pressure</v>
      </c>
      <c r="G468" t="s">
        <v>84</v>
      </c>
      <c r="H468">
        <v>0</v>
      </c>
      <c r="I468">
        <v>2</v>
      </c>
      <c r="J468" t="s">
        <v>11</v>
      </c>
      <c r="K468">
        <f>world_cup_matches9[[#This Row],[Home Goals]]+world_cup_matches9[[#This Row],[Away Goals]]</f>
        <v>2</v>
      </c>
      <c r="L468" t="s">
        <v>132</v>
      </c>
      <c r="M4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8" t="b">
        <v>0</v>
      </c>
    </row>
    <row r="469" spans="1:14" x14ac:dyDescent="0.3">
      <c r="A469">
        <v>692</v>
      </c>
      <c r="B469">
        <v>2006</v>
      </c>
      <c r="C469" s="2">
        <v>38891</v>
      </c>
      <c r="D469" s="3" cm="1">
        <f t="array" ref="D4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69" t="s">
        <v>38</v>
      </c>
      <c r="F469" t="str">
        <f>IF((world_cup_matches9[[#This Row],[StageOrder]]&gt;=7),"High Pressure","Low Pressure")</f>
        <v>Low Pressure</v>
      </c>
      <c r="G469" t="s">
        <v>25</v>
      </c>
      <c r="H469">
        <v>2</v>
      </c>
      <c r="I469">
        <v>0</v>
      </c>
      <c r="J469" t="s">
        <v>30</v>
      </c>
      <c r="K469">
        <f>world_cup_matches9[[#This Row],[Home Goals]]+world_cup_matches9[[#This Row],[Away Goals]]</f>
        <v>2</v>
      </c>
      <c r="L469" t="s">
        <v>132</v>
      </c>
      <c r="M4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69" t="b">
        <v>0</v>
      </c>
    </row>
    <row r="470" spans="1:14" x14ac:dyDescent="0.3">
      <c r="A470">
        <v>709</v>
      </c>
      <c r="B470">
        <v>2010</v>
      </c>
      <c r="C470" s="2">
        <v>40340</v>
      </c>
      <c r="D470" s="3" cm="1">
        <f t="array" ref="D4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0" t="s">
        <v>38</v>
      </c>
      <c r="F470" t="str">
        <f>IF((world_cup_matches9[[#This Row],[StageOrder]]&gt;=7),"High Pressure","Low Pressure")</f>
        <v>Low Pressure</v>
      </c>
      <c r="G470" t="s">
        <v>70</v>
      </c>
      <c r="H470">
        <v>1</v>
      </c>
      <c r="I470">
        <v>1</v>
      </c>
      <c r="J470" t="s">
        <v>9</v>
      </c>
      <c r="K470">
        <f>world_cup_matches9[[#This Row],[Home Goals]]+world_cup_matches9[[#This Row],[Away Goals]]</f>
        <v>2</v>
      </c>
      <c r="L470" t="s">
        <v>132</v>
      </c>
      <c r="M4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0" t="b">
        <v>1</v>
      </c>
    </row>
    <row r="471" spans="1:14" x14ac:dyDescent="0.3">
      <c r="A471">
        <v>710</v>
      </c>
      <c r="B471">
        <v>2010</v>
      </c>
      <c r="C471" s="2">
        <v>40340</v>
      </c>
      <c r="D471" s="3" cm="1">
        <f t="array" ref="D4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1" t="s">
        <v>38</v>
      </c>
      <c r="F471" t="str">
        <f>IF((world_cup_matches9[[#This Row],[StageOrder]]&gt;=7),"High Pressure","Low Pressure")</f>
        <v>Low Pressure</v>
      </c>
      <c r="G471" t="s">
        <v>29</v>
      </c>
      <c r="H471">
        <v>0</v>
      </c>
      <c r="I471">
        <v>0</v>
      </c>
      <c r="J471" t="s">
        <v>11</v>
      </c>
      <c r="K471">
        <f>world_cup_matches9[[#This Row],[Home Goals]]+world_cup_matches9[[#This Row],[Away Goals]]</f>
        <v>0</v>
      </c>
      <c r="L471" t="s">
        <v>132</v>
      </c>
      <c r="M4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1" t="b">
        <v>0</v>
      </c>
    </row>
    <row r="472" spans="1:14" x14ac:dyDescent="0.3">
      <c r="A472">
        <v>711</v>
      </c>
      <c r="B472">
        <v>2010</v>
      </c>
      <c r="C472" s="2">
        <v>40341</v>
      </c>
      <c r="D472" s="3" cm="1">
        <f t="array" ref="D4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2" t="s">
        <v>38</v>
      </c>
      <c r="F472" t="str">
        <f>IF((world_cup_matches9[[#This Row],[StageOrder]]&gt;=7),"High Pressure","Low Pressure")</f>
        <v>Low Pressure</v>
      </c>
      <c r="G472" t="s">
        <v>30</v>
      </c>
      <c r="H472">
        <v>2</v>
      </c>
      <c r="I472">
        <v>0</v>
      </c>
      <c r="J472" t="s">
        <v>47</v>
      </c>
      <c r="K472">
        <f>world_cup_matches9[[#This Row],[Home Goals]]+world_cup_matches9[[#This Row],[Away Goals]]</f>
        <v>2</v>
      </c>
      <c r="L472" t="s">
        <v>132</v>
      </c>
      <c r="M4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2" t="b">
        <v>0</v>
      </c>
    </row>
    <row r="473" spans="1:14" x14ac:dyDescent="0.3">
      <c r="A473">
        <v>712</v>
      </c>
      <c r="B473">
        <v>2010</v>
      </c>
      <c r="C473" s="2">
        <v>40341</v>
      </c>
      <c r="D473" s="3" cm="1">
        <f t="array" ref="D4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3" t="s">
        <v>38</v>
      </c>
      <c r="F473" t="str">
        <f>IF((world_cup_matches9[[#This Row],[StageOrder]]&gt;=7),"High Pressure","Low Pressure")</f>
        <v>Low Pressure</v>
      </c>
      <c r="G473" t="s">
        <v>7</v>
      </c>
      <c r="H473">
        <v>1</v>
      </c>
      <c r="I473">
        <v>0</v>
      </c>
      <c r="J473" t="s">
        <v>82</v>
      </c>
      <c r="K473">
        <f>world_cup_matches9[[#This Row],[Home Goals]]+world_cup_matches9[[#This Row],[Away Goals]]</f>
        <v>1</v>
      </c>
      <c r="L473" t="s">
        <v>132</v>
      </c>
      <c r="M4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3" t="b">
        <v>0</v>
      </c>
    </row>
    <row r="474" spans="1:14" x14ac:dyDescent="0.3">
      <c r="A474">
        <v>713</v>
      </c>
      <c r="B474">
        <v>2010</v>
      </c>
      <c r="C474" s="2">
        <v>40341</v>
      </c>
      <c r="D474" s="3" cm="1">
        <f t="array" ref="D4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4" t="s">
        <v>38</v>
      </c>
      <c r="F474" t="str">
        <f>IF((world_cup_matches9[[#This Row],[StageOrder]]&gt;=7),"High Pressure","Low Pressure")</f>
        <v>Low Pressure</v>
      </c>
      <c r="G474" t="s">
        <v>3</v>
      </c>
      <c r="H474">
        <v>1</v>
      </c>
      <c r="I474">
        <v>1</v>
      </c>
      <c r="J474" t="s">
        <v>5</v>
      </c>
      <c r="K474">
        <f>world_cup_matches9[[#This Row],[Home Goals]]+world_cup_matches9[[#This Row],[Away Goals]]</f>
        <v>2</v>
      </c>
      <c r="L474" t="s">
        <v>132</v>
      </c>
      <c r="M4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4" t="b">
        <v>0</v>
      </c>
    </row>
    <row r="475" spans="1:14" x14ac:dyDescent="0.3">
      <c r="A475">
        <v>714</v>
      </c>
      <c r="B475">
        <v>2010</v>
      </c>
      <c r="C475" s="2">
        <v>40342</v>
      </c>
      <c r="D475" s="3" cm="1">
        <f t="array" ref="D4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5" t="s">
        <v>38</v>
      </c>
      <c r="F475" t="str">
        <f>IF((world_cup_matches9[[#This Row],[StageOrder]]&gt;=7),"High Pressure","Low Pressure")</f>
        <v>Low Pressure</v>
      </c>
      <c r="G475" t="s">
        <v>88</v>
      </c>
      <c r="H475">
        <v>0</v>
      </c>
      <c r="I475">
        <v>1</v>
      </c>
      <c r="J475" t="s">
        <v>93</v>
      </c>
      <c r="K475">
        <f>world_cup_matches9[[#This Row],[Home Goals]]+world_cup_matches9[[#This Row],[Away Goals]]</f>
        <v>1</v>
      </c>
      <c r="L475" t="s">
        <v>132</v>
      </c>
      <c r="M4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5" t="b">
        <v>0</v>
      </c>
    </row>
    <row r="476" spans="1:14" x14ac:dyDescent="0.3">
      <c r="A476">
        <v>715</v>
      </c>
      <c r="B476">
        <v>2010</v>
      </c>
      <c r="C476" s="2">
        <v>40342</v>
      </c>
      <c r="D476" s="3" cm="1">
        <f t="array" ref="D4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6" t="s">
        <v>38</v>
      </c>
      <c r="F476" t="str">
        <f>IF((world_cup_matches9[[#This Row],[StageOrder]]&gt;=7),"High Pressure","Low Pressure")</f>
        <v>Low Pressure</v>
      </c>
      <c r="G476" t="s">
        <v>24</v>
      </c>
      <c r="H476">
        <v>0</v>
      </c>
      <c r="I476">
        <v>1</v>
      </c>
      <c r="J476" t="s">
        <v>28</v>
      </c>
      <c r="K476">
        <f>world_cup_matches9[[#This Row],[Home Goals]]+world_cup_matches9[[#This Row],[Away Goals]]</f>
        <v>1</v>
      </c>
      <c r="L476" t="s">
        <v>132</v>
      </c>
      <c r="M4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6" t="b">
        <v>0</v>
      </c>
    </row>
    <row r="477" spans="1:14" x14ac:dyDescent="0.3">
      <c r="A477">
        <v>716</v>
      </c>
      <c r="B477">
        <v>2010</v>
      </c>
      <c r="C477" s="2">
        <v>40342</v>
      </c>
      <c r="D477" s="3" cm="1">
        <f t="array" ref="D4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7" t="s">
        <v>38</v>
      </c>
      <c r="F477" t="str">
        <f>IF((world_cup_matches9[[#This Row],[StageOrder]]&gt;=7),"High Pressure","Low Pressure")</f>
        <v>Low Pressure</v>
      </c>
      <c r="G477" t="s">
        <v>17</v>
      </c>
      <c r="H477">
        <v>4</v>
      </c>
      <c r="I477">
        <v>0</v>
      </c>
      <c r="J477" t="s">
        <v>12</v>
      </c>
      <c r="K477">
        <f>world_cup_matches9[[#This Row],[Home Goals]]+world_cup_matches9[[#This Row],[Away Goals]]</f>
        <v>4</v>
      </c>
      <c r="L477" t="s">
        <v>132</v>
      </c>
      <c r="M4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7" t="b">
        <v>0</v>
      </c>
    </row>
    <row r="478" spans="1:14" x14ac:dyDescent="0.3">
      <c r="A478">
        <v>717</v>
      </c>
      <c r="B478">
        <v>2010</v>
      </c>
      <c r="C478" s="2">
        <v>40343</v>
      </c>
      <c r="D478" s="3" cm="1">
        <f t="array" ref="D4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8" t="s">
        <v>38</v>
      </c>
      <c r="F478" t="str">
        <f>IF((world_cup_matches9[[#This Row],[StageOrder]]&gt;=7),"High Pressure","Low Pressure")</f>
        <v>Low Pressure</v>
      </c>
      <c r="G478" t="s">
        <v>2</v>
      </c>
      <c r="H478">
        <v>2</v>
      </c>
      <c r="I478">
        <v>0</v>
      </c>
      <c r="J478" t="s">
        <v>13</v>
      </c>
      <c r="K478">
        <f>world_cup_matches9[[#This Row],[Home Goals]]+world_cup_matches9[[#This Row],[Away Goals]]</f>
        <v>2</v>
      </c>
      <c r="L478" t="s">
        <v>132</v>
      </c>
      <c r="M4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8" t="b">
        <v>0</v>
      </c>
    </row>
    <row r="479" spans="1:14" x14ac:dyDescent="0.3">
      <c r="A479">
        <v>718</v>
      </c>
      <c r="B479">
        <v>2010</v>
      </c>
      <c r="C479" s="2">
        <v>40343</v>
      </c>
      <c r="D479" s="3" cm="1">
        <f t="array" ref="D4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79" t="s">
        <v>38</v>
      </c>
      <c r="F479" t="str">
        <f>IF((world_cup_matches9[[#This Row],[StageOrder]]&gt;=7),"High Pressure","Low Pressure")</f>
        <v>Low Pressure</v>
      </c>
      <c r="G479" t="s">
        <v>18</v>
      </c>
      <c r="H479">
        <v>1</v>
      </c>
      <c r="I479">
        <v>0</v>
      </c>
      <c r="J479" t="s">
        <v>26</v>
      </c>
      <c r="K479">
        <f>world_cup_matches9[[#This Row],[Home Goals]]+world_cup_matches9[[#This Row],[Away Goals]]</f>
        <v>1</v>
      </c>
      <c r="L479" t="s">
        <v>132</v>
      </c>
      <c r="M4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79" t="b">
        <v>0</v>
      </c>
    </row>
    <row r="480" spans="1:14" x14ac:dyDescent="0.3">
      <c r="A480">
        <v>719</v>
      </c>
      <c r="B480">
        <v>2010</v>
      </c>
      <c r="C480" s="2">
        <v>40343</v>
      </c>
      <c r="D480" s="3" cm="1">
        <f t="array" ref="D4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0" t="s">
        <v>38</v>
      </c>
      <c r="F480" t="str">
        <f>IF((world_cup_matches9[[#This Row],[StageOrder]]&gt;=7),"High Pressure","Low Pressure")</f>
        <v>Low Pressure</v>
      </c>
      <c r="G480" t="s">
        <v>46</v>
      </c>
      <c r="H480">
        <v>1</v>
      </c>
      <c r="I480">
        <v>1</v>
      </c>
      <c r="J480" t="s">
        <v>65</v>
      </c>
      <c r="K480">
        <f>world_cup_matches9[[#This Row],[Home Goals]]+world_cup_matches9[[#This Row],[Away Goals]]</f>
        <v>2</v>
      </c>
      <c r="L480" t="s">
        <v>132</v>
      </c>
      <c r="M4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0" t="b">
        <v>0</v>
      </c>
    </row>
    <row r="481" spans="1:14" x14ac:dyDescent="0.3">
      <c r="A481">
        <v>720</v>
      </c>
      <c r="B481">
        <v>2010</v>
      </c>
      <c r="C481" s="2">
        <v>40344</v>
      </c>
      <c r="D481" s="3" cm="1">
        <f t="array" ref="D4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1" t="s">
        <v>38</v>
      </c>
      <c r="F481" t="str">
        <f>IF((world_cup_matches9[[#This Row],[StageOrder]]&gt;=7),"High Pressure","Low Pressure")</f>
        <v>Low Pressure</v>
      </c>
      <c r="G481" t="s">
        <v>67</v>
      </c>
      <c r="H481">
        <v>1</v>
      </c>
      <c r="I481">
        <v>1</v>
      </c>
      <c r="J481" t="s">
        <v>77</v>
      </c>
      <c r="K481">
        <f>world_cup_matches9[[#This Row],[Home Goals]]+world_cup_matches9[[#This Row],[Away Goals]]</f>
        <v>2</v>
      </c>
      <c r="L481" t="s">
        <v>132</v>
      </c>
      <c r="M4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1" t="b">
        <v>0</v>
      </c>
    </row>
    <row r="482" spans="1:14" x14ac:dyDescent="0.3">
      <c r="A482">
        <v>721</v>
      </c>
      <c r="B482">
        <v>2010</v>
      </c>
      <c r="C482" s="2">
        <v>40344</v>
      </c>
      <c r="D482" s="3" cm="1">
        <f t="array" ref="D4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2" t="s">
        <v>38</v>
      </c>
      <c r="F482" t="str">
        <f>IF((world_cup_matches9[[#This Row],[StageOrder]]&gt;=7),"High Pressure","Low Pressure")</f>
        <v>Low Pressure</v>
      </c>
      <c r="G482" t="s">
        <v>86</v>
      </c>
      <c r="H482">
        <v>0</v>
      </c>
      <c r="I482">
        <v>0</v>
      </c>
      <c r="J482" t="s">
        <v>27</v>
      </c>
      <c r="K482">
        <f>world_cup_matches9[[#This Row],[Home Goals]]+world_cup_matches9[[#This Row],[Away Goals]]</f>
        <v>0</v>
      </c>
      <c r="L482" t="s">
        <v>132</v>
      </c>
      <c r="M4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2" t="b">
        <v>0</v>
      </c>
    </row>
    <row r="483" spans="1:14" x14ac:dyDescent="0.3">
      <c r="A483">
        <v>722</v>
      </c>
      <c r="B483">
        <v>2010</v>
      </c>
      <c r="C483" s="2">
        <v>40344</v>
      </c>
      <c r="D483" s="3" cm="1">
        <f t="array" ref="D4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3" t="s">
        <v>38</v>
      </c>
      <c r="F483" t="str">
        <f>IF((world_cup_matches9[[#This Row],[StageOrder]]&gt;=7),"High Pressure","Low Pressure")</f>
        <v>Low Pressure</v>
      </c>
      <c r="G483" t="s">
        <v>23</v>
      </c>
      <c r="H483">
        <v>2</v>
      </c>
      <c r="I483">
        <v>1</v>
      </c>
      <c r="J483" t="s">
        <v>91</v>
      </c>
      <c r="K483">
        <f>world_cup_matches9[[#This Row],[Home Goals]]+world_cup_matches9[[#This Row],[Away Goals]]</f>
        <v>3</v>
      </c>
      <c r="L483" t="s">
        <v>132</v>
      </c>
      <c r="M4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3" t="b">
        <v>0</v>
      </c>
    </row>
    <row r="484" spans="1:14" x14ac:dyDescent="0.3">
      <c r="A484">
        <v>723</v>
      </c>
      <c r="B484">
        <v>2010</v>
      </c>
      <c r="C484" s="2">
        <v>40345</v>
      </c>
      <c r="D484" s="3" cm="1">
        <f t="array" ref="D4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4" t="s">
        <v>38</v>
      </c>
      <c r="F484" t="str">
        <f>IF((world_cup_matches9[[#This Row],[StageOrder]]&gt;=7),"High Pressure","Low Pressure")</f>
        <v>Low Pressure</v>
      </c>
      <c r="G484" t="s">
        <v>79</v>
      </c>
      <c r="H484">
        <v>0</v>
      </c>
      <c r="I484">
        <v>1</v>
      </c>
      <c r="J484" t="s">
        <v>63</v>
      </c>
      <c r="K484">
        <f>world_cup_matches9[[#This Row],[Home Goals]]+world_cup_matches9[[#This Row],[Away Goals]]</f>
        <v>1</v>
      </c>
      <c r="L484" t="s">
        <v>132</v>
      </c>
      <c r="M4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4" t="b">
        <v>0</v>
      </c>
    </row>
    <row r="485" spans="1:14" x14ac:dyDescent="0.3">
      <c r="A485">
        <v>724</v>
      </c>
      <c r="B485">
        <v>2010</v>
      </c>
      <c r="C485" s="2">
        <v>40345</v>
      </c>
      <c r="D485" s="3" cm="1">
        <f t="array" ref="D4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5" t="s">
        <v>38</v>
      </c>
      <c r="F485" t="str">
        <f>IF((world_cup_matches9[[#This Row],[StageOrder]]&gt;=7),"High Pressure","Low Pressure")</f>
        <v>Low Pressure</v>
      </c>
      <c r="G485" t="s">
        <v>15</v>
      </c>
      <c r="H485">
        <v>0</v>
      </c>
      <c r="I485">
        <v>1</v>
      </c>
      <c r="J485" t="s">
        <v>25</v>
      </c>
      <c r="K485">
        <f>world_cup_matches9[[#This Row],[Home Goals]]+world_cup_matches9[[#This Row],[Away Goals]]</f>
        <v>1</v>
      </c>
      <c r="L485" t="s">
        <v>132</v>
      </c>
      <c r="M4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5" t="b">
        <v>0</v>
      </c>
    </row>
    <row r="486" spans="1:14" x14ac:dyDescent="0.3">
      <c r="A486">
        <v>725</v>
      </c>
      <c r="B486">
        <v>2010</v>
      </c>
      <c r="C486" s="2">
        <v>40345</v>
      </c>
      <c r="D486" s="3" cm="1">
        <f t="array" ref="D4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6" t="s">
        <v>38</v>
      </c>
      <c r="F486" t="str">
        <f>IF((world_cup_matches9[[#This Row],[StageOrder]]&gt;=7),"High Pressure","Low Pressure")</f>
        <v>Low Pressure</v>
      </c>
      <c r="G486" t="s">
        <v>70</v>
      </c>
      <c r="H486">
        <v>0</v>
      </c>
      <c r="I486">
        <v>3</v>
      </c>
      <c r="J486" t="s">
        <v>29</v>
      </c>
      <c r="K486">
        <f>world_cup_matches9[[#This Row],[Home Goals]]+world_cup_matches9[[#This Row],[Away Goals]]</f>
        <v>3</v>
      </c>
      <c r="L486" t="s">
        <v>132</v>
      </c>
      <c r="M4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6" t="b">
        <v>1</v>
      </c>
    </row>
    <row r="487" spans="1:14" x14ac:dyDescent="0.3">
      <c r="A487">
        <v>726</v>
      </c>
      <c r="B487">
        <v>2010</v>
      </c>
      <c r="C487" s="2">
        <v>40346</v>
      </c>
      <c r="D487" s="3" cm="1">
        <f t="array" ref="D4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7" t="s">
        <v>38</v>
      </c>
      <c r="F487" t="str">
        <f>IF((world_cup_matches9[[#This Row],[StageOrder]]&gt;=7),"High Pressure","Low Pressure")</f>
        <v>Low Pressure</v>
      </c>
      <c r="G487" t="s">
        <v>7</v>
      </c>
      <c r="H487">
        <v>4</v>
      </c>
      <c r="I487">
        <v>1</v>
      </c>
      <c r="J487" t="s">
        <v>30</v>
      </c>
      <c r="K487">
        <f>world_cup_matches9[[#This Row],[Home Goals]]+world_cup_matches9[[#This Row],[Away Goals]]</f>
        <v>5</v>
      </c>
      <c r="L487" t="s">
        <v>132</v>
      </c>
      <c r="M4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7" t="b">
        <v>0</v>
      </c>
    </row>
    <row r="488" spans="1:14" x14ac:dyDescent="0.3">
      <c r="A488">
        <v>727</v>
      </c>
      <c r="B488">
        <v>2010</v>
      </c>
      <c r="C488" s="2">
        <v>40346</v>
      </c>
      <c r="D488" s="3" cm="1">
        <f t="array" ref="D4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8" t="s">
        <v>38</v>
      </c>
      <c r="F488" t="str">
        <f>IF((world_cup_matches9[[#This Row],[StageOrder]]&gt;=7),"High Pressure","Low Pressure")</f>
        <v>Low Pressure</v>
      </c>
      <c r="G488" t="s">
        <v>47</v>
      </c>
      <c r="H488">
        <v>2</v>
      </c>
      <c r="I488">
        <v>1</v>
      </c>
      <c r="J488" t="s">
        <v>82</v>
      </c>
      <c r="K488">
        <f>world_cup_matches9[[#This Row],[Home Goals]]+world_cup_matches9[[#This Row],[Away Goals]]</f>
        <v>3</v>
      </c>
      <c r="L488" t="s">
        <v>132</v>
      </c>
      <c r="M4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8" t="b">
        <v>0</v>
      </c>
    </row>
    <row r="489" spans="1:14" x14ac:dyDescent="0.3">
      <c r="A489">
        <v>728</v>
      </c>
      <c r="B489">
        <v>2010</v>
      </c>
      <c r="C489" s="2">
        <v>40346</v>
      </c>
      <c r="D489" s="3" cm="1">
        <f t="array" ref="D4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89" t="s">
        <v>38</v>
      </c>
      <c r="F489" t="str">
        <f>IF((world_cup_matches9[[#This Row],[StageOrder]]&gt;=7),"High Pressure","Low Pressure")</f>
        <v>Low Pressure</v>
      </c>
      <c r="G489" t="s">
        <v>11</v>
      </c>
      <c r="H489">
        <v>0</v>
      </c>
      <c r="I489">
        <v>2</v>
      </c>
      <c r="J489" t="s">
        <v>9</v>
      </c>
      <c r="K489">
        <f>world_cup_matches9[[#This Row],[Home Goals]]+world_cup_matches9[[#This Row],[Away Goals]]</f>
        <v>2</v>
      </c>
      <c r="L489" t="s">
        <v>132</v>
      </c>
      <c r="M4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89" t="b">
        <v>0</v>
      </c>
    </row>
    <row r="490" spans="1:14" x14ac:dyDescent="0.3">
      <c r="A490">
        <v>729</v>
      </c>
      <c r="B490">
        <v>2010</v>
      </c>
      <c r="C490" s="2">
        <v>40347</v>
      </c>
      <c r="D490" s="3" cm="1">
        <f t="array" ref="D4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0" t="s">
        <v>38</v>
      </c>
      <c r="F490" t="str">
        <f>IF((world_cup_matches9[[#This Row],[StageOrder]]&gt;=7),"High Pressure","Low Pressure")</f>
        <v>Low Pressure</v>
      </c>
      <c r="G490" t="s">
        <v>17</v>
      </c>
      <c r="H490">
        <v>0</v>
      </c>
      <c r="I490">
        <v>1</v>
      </c>
      <c r="J490" t="s">
        <v>24</v>
      </c>
      <c r="K490">
        <f>world_cup_matches9[[#This Row],[Home Goals]]+world_cup_matches9[[#This Row],[Away Goals]]</f>
        <v>1</v>
      </c>
      <c r="L490" t="s">
        <v>132</v>
      </c>
      <c r="M4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0" t="b">
        <v>0</v>
      </c>
    </row>
    <row r="491" spans="1:14" x14ac:dyDescent="0.3">
      <c r="A491">
        <v>730</v>
      </c>
      <c r="B491">
        <v>2010</v>
      </c>
      <c r="C491" s="2">
        <v>40347</v>
      </c>
      <c r="D491" s="3" cm="1">
        <f t="array" ref="D4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1" t="s">
        <v>38</v>
      </c>
      <c r="F491" t="str">
        <f>IF((world_cup_matches9[[#This Row],[StageOrder]]&gt;=7),"High Pressure","Low Pressure")</f>
        <v>Low Pressure</v>
      </c>
      <c r="G491" t="s">
        <v>93</v>
      </c>
      <c r="H491">
        <v>2</v>
      </c>
      <c r="I491">
        <v>2</v>
      </c>
      <c r="J491" t="s">
        <v>5</v>
      </c>
      <c r="K491">
        <f>world_cup_matches9[[#This Row],[Home Goals]]+world_cup_matches9[[#This Row],[Away Goals]]</f>
        <v>4</v>
      </c>
      <c r="L491" t="s">
        <v>132</v>
      </c>
      <c r="M4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1" t="b">
        <v>0</v>
      </c>
    </row>
    <row r="492" spans="1:14" x14ac:dyDescent="0.3">
      <c r="A492">
        <v>731</v>
      </c>
      <c r="B492">
        <v>2010</v>
      </c>
      <c r="C492" s="2">
        <v>40347</v>
      </c>
      <c r="D492" s="3" cm="1">
        <f t="array" ref="D4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2" t="s">
        <v>38</v>
      </c>
      <c r="F492" t="str">
        <f>IF((world_cup_matches9[[#This Row],[StageOrder]]&gt;=7),"High Pressure","Low Pressure")</f>
        <v>Low Pressure</v>
      </c>
      <c r="G492" t="s">
        <v>3</v>
      </c>
      <c r="H492">
        <v>0</v>
      </c>
      <c r="I492">
        <v>0</v>
      </c>
      <c r="J492" t="s">
        <v>88</v>
      </c>
      <c r="K492">
        <f>world_cup_matches9[[#This Row],[Home Goals]]+world_cup_matches9[[#This Row],[Away Goals]]</f>
        <v>0</v>
      </c>
      <c r="L492" t="s">
        <v>132</v>
      </c>
      <c r="M4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2" t="b">
        <v>0</v>
      </c>
    </row>
    <row r="493" spans="1:14" x14ac:dyDescent="0.3">
      <c r="A493">
        <v>732</v>
      </c>
      <c r="B493">
        <v>2010</v>
      </c>
      <c r="C493" s="2">
        <v>40348</v>
      </c>
      <c r="D493" s="3" cm="1">
        <f t="array" ref="D4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3" t="s">
        <v>38</v>
      </c>
      <c r="F493" t="str">
        <f>IF((world_cup_matches9[[#This Row],[StageOrder]]&gt;=7),"High Pressure","Low Pressure")</f>
        <v>Low Pressure</v>
      </c>
      <c r="G493" t="s">
        <v>2</v>
      </c>
      <c r="H493">
        <v>1</v>
      </c>
      <c r="I493">
        <v>0</v>
      </c>
      <c r="J493" t="s">
        <v>18</v>
      </c>
      <c r="K493">
        <f>world_cup_matches9[[#This Row],[Home Goals]]+world_cup_matches9[[#This Row],[Away Goals]]</f>
        <v>1</v>
      </c>
      <c r="L493" t="s">
        <v>132</v>
      </c>
      <c r="M4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3" t="b">
        <v>0</v>
      </c>
    </row>
    <row r="494" spans="1:14" x14ac:dyDescent="0.3">
      <c r="A494">
        <v>733</v>
      </c>
      <c r="B494">
        <v>2010</v>
      </c>
      <c r="C494" s="2">
        <v>40348</v>
      </c>
      <c r="D494" s="3" cm="1">
        <f t="array" ref="D4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4" t="s">
        <v>38</v>
      </c>
      <c r="F494" t="str">
        <f>IF((world_cup_matches9[[#This Row],[StageOrder]]&gt;=7),"High Pressure","Low Pressure")</f>
        <v>Low Pressure</v>
      </c>
      <c r="G494" t="s">
        <v>28</v>
      </c>
      <c r="H494">
        <v>1</v>
      </c>
      <c r="I494">
        <v>1</v>
      </c>
      <c r="J494" t="s">
        <v>12</v>
      </c>
      <c r="K494">
        <f>world_cup_matches9[[#This Row],[Home Goals]]+world_cup_matches9[[#This Row],[Away Goals]]</f>
        <v>2</v>
      </c>
      <c r="L494" t="s">
        <v>132</v>
      </c>
      <c r="M4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4" t="b">
        <v>0</v>
      </c>
    </row>
    <row r="495" spans="1:14" x14ac:dyDescent="0.3">
      <c r="A495">
        <v>734</v>
      </c>
      <c r="B495">
        <v>2010</v>
      </c>
      <c r="C495" s="2">
        <v>40348</v>
      </c>
      <c r="D495" s="3" cm="1">
        <f t="array" ref="D4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5" t="s">
        <v>38</v>
      </c>
      <c r="F495" t="str">
        <f>IF((world_cup_matches9[[#This Row],[StageOrder]]&gt;=7),"High Pressure","Low Pressure")</f>
        <v>Low Pressure</v>
      </c>
      <c r="G495" t="s">
        <v>26</v>
      </c>
      <c r="H495">
        <v>1</v>
      </c>
      <c r="I495">
        <v>2</v>
      </c>
      <c r="J495" t="s">
        <v>13</v>
      </c>
      <c r="K495">
        <f>world_cup_matches9[[#This Row],[Home Goals]]+world_cup_matches9[[#This Row],[Away Goals]]</f>
        <v>3</v>
      </c>
      <c r="L495" t="s">
        <v>132</v>
      </c>
      <c r="M4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5" t="b">
        <v>0</v>
      </c>
    </row>
    <row r="496" spans="1:14" x14ac:dyDescent="0.3">
      <c r="A496">
        <v>735</v>
      </c>
      <c r="B496">
        <v>2010</v>
      </c>
      <c r="C496" s="2">
        <v>40349</v>
      </c>
      <c r="D496" s="3" cm="1">
        <f t="array" ref="D4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6" t="s">
        <v>38</v>
      </c>
      <c r="F496" t="str">
        <f>IF((world_cup_matches9[[#This Row],[StageOrder]]&gt;=7),"High Pressure","Low Pressure")</f>
        <v>Low Pressure</v>
      </c>
      <c r="G496" t="s">
        <v>77</v>
      </c>
      <c r="H496">
        <v>0</v>
      </c>
      <c r="I496">
        <v>2</v>
      </c>
      <c r="J496" t="s">
        <v>65</v>
      </c>
      <c r="K496">
        <f>world_cup_matches9[[#This Row],[Home Goals]]+world_cup_matches9[[#This Row],[Away Goals]]</f>
        <v>2</v>
      </c>
      <c r="L496" t="s">
        <v>132</v>
      </c>
      <c r="M4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6" t="b">
        <v>0</v>
      </c>
    </row>
    <row r="497" spans="1:14" x14ac:dyDescent="0.3">
      <c r="A497">
        <v>736</v>
      </c>
      <c r="B497">
        <v>2010</v>
      </c>
      <c r="C497" s="2">
        <v>40349</v>
      </c>
      <c r="D497" s="3" cm="1">
        <f t="array" ref="D4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7" t="s">
        <v>38</v>
      </c>
      <c r="F497" t="str">
        <f>IF((world_cup_matches9[[#This Row],[StageOrder]]&gt;=7),"High Pressure","Low Pressure")</f>
        <v>Low Pressure</v>
      </c>
      <c r="G497" t="s">
        <v>46</v>
      </c>
      <c r="H497">
        <v>1</v>
      </c>
      <c r="I497">
        <v>1</v>
      </c>
      <c r="J497" t="s">
        <v>67</v>
      </c>
      <c r="K497">
        <f>world_cup_matches9[[#This Row],[Home Goals]]+world_cup_matches9[[#This Row],[Away Goals]]</f>
        <v>2</v>
      </c>
      <c r="L497" t="s">
        <v>132</v>
      </c>
      <c r="M4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7" t="b">
        <v>0</v>
      </c>
    </row>
    <row r="498" spans="1:14" x14ac:dyDescent="0.3">
      <c r="A498">
        <v>737</v>
      </c>
      <c r="B498">
        <v>2010</v>
      </c>
      <c r="C498" s="2">
        <v>40349</v>
      </c>
      <c r="D498" s="3" cm="1">
        <f t="array" ref="D4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8" t="s">
        <v>38</v>
      </c>
      <c r="F498" t="str">
        <f>IF((world_cup_matches9[[#This Row],[StageOrder]]&gt;=7),"High Pressure","Low Pressure")</f>
        <v>Low Pressure</v>
      </c>
      <c r="G498" t="s">
        <v>23</v>
      </c>
      <c r="H498">
        <v>3</v>
      </c>
      <c r="I498">
        <v>1</v>
      </c>
      <c r="J498" t="s">
        <v>86</v>
      </c>
      <c r="K498">
        <f>world_cup_matches9[[#This Row],[Home Goals]]+world_cup_matches9[[#This Row],[Away Goals]]</f>
        <v>4</v>
      </c>
      <c r="L498" t="s">
        <v>132</v>
      </c>
      <c r="M4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8" t="b">
        <v>0</v>
      </c>
    </row>
    <row r="499" spans="1:14" x14ac:dyDescent="0.3">
      <c r="A499">
        <v>738</v>
      </c>
      <c r="B499">
        <v>2010</v>
      </c>
      <c r="C499" s="2">
        <v>40350</v>
      </c>
      <c r="D499" s="3" cm="1">
        <f t="array" ref="D4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499" t="s">
        <v>38</v>
      </c>
      <c r="F499" t="str">
        <f>IF((world_cup_matches9[[#This Row],[StageOrder]]&gt;=7),"High Pressure","Low Pressure")</f>
        <v>Low Pressure</v>
      </c>
      <c r="G499" t="s">
        <v>27</v>
      </c>
      <c r="H499">
        <v>7</v>
      </c>
      <c r="I499">
        <v>0</v>
      </c>
      <c r="J499" t="s">
        <v>91</v>
      </c>
      <c r="K499">
        <f>world_cup_matches9[[#This Row],[Home Goals]]+world_cup_matches9[[#This Row],[Away Goals]]</f>
        <v>7</v>
      </c>
      <c r="L499" t="s">
        <v>132</v>
      </c>
      <c r="M4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499" t="b">
        <v>0</v>
      </c>
    </row>
    <row r="500" spans="1:14" x14ac:dyDescent="0.3">
      <c r="A500">
        <v>739</v>
      </c>
      <c r="B500">
        <v>2010</v>
      </c>
      <c r="C500" s="2">
        <v>40350</v>
      </c>
      <c r="D500" s="3" cm="1">
        <f t="array" ref="D5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0" t="s">
        <v>38</v>
      </c>
      <c r="F500" t="str">
        <f>IF((world_cup_matches9[[#This Row],[StageOrder]]&gt;=7),"High Pressure","Low Pressure")</f>
        <v>Low Pressure</v>
      </c>
      <c r="G500" t="s">
        <v>63</v>
      </c>
      <c r="H500">
        <v>1</v>
      </c>
      <c r="I500">
        <v>0</v>
      </c>
      <c r="J500" t="s">
        <v>25</v>
      </c>
      <c r="K500">
        <f>world_cup_matches9[[#This Row],[Home Goals]]+world_cup_matches9[[#This Row],[Away Goals]]</f>
        <v>1</v>
      </c>
      <c r="L500" t="s">
        <v>132</v>
      </c>
      <c r="M5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0" t="b">
        <v>0</v>
      </c>
    </row>
    <row r="501" spans="1:14" x14ac:dyDescent="0.3">
      <c r="A501">
        <v>740</v>
      </c>
      <c r="B501">
        <v>2010</v>
      </c>
      <c r="C501" s="2">
        <v>40350</v>
      </c>
      <c r="D501" s="3" cm="1">
        <f t="array" ref="D5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1" t="s">
        <v>38</v>
      </c>
      <c r="F501" t="str">
        <f>IF((world_cup_matches9[[#This Row],[StageOrder]]&gt;=7),"High Pressure","Low Pressure")</f>
        <v>Low Pressure</v>
      </c>
      <c r="G501" t="s">
        <v>15</v>
      </c>
      <c r="H501">
        <v>2</v>
      </c>
      <c r="I501">
        <v>0</v>
      </c>
      <c r="J501" t="s">
        <v>79</v>
      </c>
      <c r="K501">
        <f>world_cup_matches9[[#This Row],[Home Goals]]+world_cup_matches9[[#This Row],[Away Goals]]</f>
        <v>2</v>
      </c>
      <c r="L501" t="s">
        <v>132</v>
      </c>
      <c r="M5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1" t="b">
        <v>0</v>
      </c>
    </row>
    <row r="502" spans="1:14" x14ac:dyDescent="0.3">
      <c r="A502">
        <v>741</v>
      </c>
      <c r="B502">
        <v>2010</v>
      </c>
      <c r="C502" s="2">
        <v>40351</v>
      </c>
      <c r="D502" s="3" cm="1">
        <f t="array" ref="D5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2" t="s">
        <v>38</v>
      </c>
      <c r="F502" t="str">
        <f>IF((world_cup_matches9[[#This Row],[StageOrder]]&gt;=7),"High Pressure","Low Pressure")</f>
        <v>Low Pressure</v>
      </c>
      <c r="G502" t="s">
        <v>9</v>
      </c>
      <c r="H502">
        <v>0</v>
      </c>
      <c r="I502">
        <v>1</v>
      </c>
      <c r="J502" t="s">
        <v>29</v>
      </c>
      <c r="K502">
        <f>world_cup_matches9[[#This Row],[Home Goals]]+world_cup_matches9[[#This Row],[Away Goals]]</f>
        <v>1</v>
      </c>
      <c r="L502" t="s">
        <v>132</v>
      </c>
      <c r="M5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2" t="b">
        <v>0</v>
      </c>
    </row>
    <row r="503" spans="1:14" x14ac:dyDescent="0.3">
      <c r="A503">
        <v>742</v>
      </c>
      <c r="B503">
        <v>2010</v>
      </c>
      <c r="C503" s="2">
        <v>40351</v>
      </c>
      <c r="D503" s="3" cm="1">
        <f t="array" ref="D5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3" t="s">
        <v>38</v>
      </c>
      <c r="F503" t="str">
        <f>IF((world_cup_matches9[[#This Row],[StageOrder]]&gt;=7),"High Pressure","Low Pressure")</f>
        <v>Low Pressure</v>
      </c>
      <c r="G503" t="s">
        <v>70</v>
      </c>
      <c r="H503">
        <v>2</v>
      </c>
      <c r="I503">
        <v>1</v>
      </c>
      <c r="J503" t="s">
        <v>11</v>
      </c>
      <c r="K503">
        <f>world_cup_matches9[[#This Row],[Home Goals]]+world_cup_matches9[[#This Row],[Away Goals]]</f>
        <v>3</v>
      </c>
      <c r="L503" t="s">
        <v>132</v>
      </c>
      <c r="M5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3" t="b">
        <v>1</v>
      </c>
    </row>
    <row r="504" spans="1:14" x14ac:dyDescent="0.3">
      <c r="A504">
        <v>743</v>
      </c>
      <c r="B504">
        <v>2010</v>
      </c>
      <c r="C504" s="2">
        <v>40351</v>
      </c>
      <c r="D504" s="3" cm="1">
        <f t="array" ref="D5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4" t="s">
        <v>38</v>
      </c>
      <c r="F504" t="str">
        <f>IF((world_cup_matches9[[#This Row],[StageOrder]]&gt;=7),"High Pressure","Low Pressure")</f>
        <v>Low Pressure</v>
      </c>
      <c r="G504" t="s">
        <v>82</v>
      </c>
      <c r="H504">
        <v>2</v>
      </c>
      <c r="I504">
        <v>2</v>
      </c>
      <c r="J504" t="s">
        <v>30</v>
      </c>
      <c r="K504">
        <f>world_cup_matches9[[#This Row],[Home Goals]]+world_cup_matches9[[#This Row],[Away Goals]]</f>
        <v>4</v>
      </c>
      <c r="L504" t="s">
        <v>132</v>
      </c>
      <c r="M5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4" t="b">
        <v>0</v>
      </c>
    </row>
    <row r="505" spans="1:14" x14ac:dyDescent="0.3">
      <c r="A505">
        <v>744</v>
      </c>
      <c r="B505">
        <v>2010</v>
      </c>
      <c r="C505" s="2">
        <v>40351</v>
      </c>
      <c r="D505" s="3" cm="1">
        <f t="array" ref="D5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5" t="s">
        <v>38</v>
      </c>
      <c r="F505" t="str">
        <f>IF((world_cup_matches9[[#This Row],[StageOrder]]&gt;=7),"High Pressure","Low Pressure")</f>
        <v>Low Pressure</v>
      </c>
      <c r="G505" t="s">
        <v>47</v>
      </c>
      <c r="H505">
        <v>0</v>
      </c>
      <c r="I505">
        <v>2</v>
      </c>
      <c r="J505" t="s">
        <v>7</v>
      </c>
      <c r="K505">
        <f>world_cup_matches9[[#This Row],[Home Goals]]+world_cup_matches9[[#This Row],[Away Goals]]</f>
        <v>2</v>
      </c>
      <c r="L505" t="s">
        <v>132</v>
      </c>
      <c r="M5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5" t="b">
        <v>0</v>
      </c>
    </row>
    <row r="506" spans="1:14" x14ac:dyDescent="0.3">
      <c r="A506">
        <v>745</v>
      </c>
      <c r="B506">
        <v>2010</v>
      </c>
      <c r="C506" s="2">
        <v>40352</v>
      </c>
      <c r="D506" s="3" cm="1">
        <f t="array" ref="D5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6" t="s">
        <v>38</v>
      </c>
      <c r="F506" t="str">
        <f>IF((world_cup_matches9[[#This Row],[StageOrder]]&gt;=7),"High Pressure","Low Pressure")</f>
        <v>Low Pressure</v>
      </c>
      <c r="G506" t="s">
        <v>93</v>
      </c>
      <c r="H506">
        <v>0</v>
      </c>
      <c r="I506">
        <v>1</v>
      </c>
      <c r="J506" t="s">
        <v>3</v>
      </c>
      <c r="K506">
        <f>world_cup_matches9[[#This Row],[Home Goals]]+world_cup_matches9[[#This Row],[Away Goals]]</f>
        <v>1</v>
      </c>
      <c r="L506" t="s">
        <v>132</v>
      </c>
      <c r="M5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6" t="b">
        <v>0</v>
      </c>
    </row>
    <row r="507" spans="1:14" x14ac:dyDescent="0.3">
      <c r="A507">
        <v>746</v>
      </c>
      <c r="B507">
        <v>2010</v>
      </c>
      <c r="C507" s="2">
        <v>40352</v>
      </c>
      <c r="D507" s="3" cm="1">
        <f t="array" ref="D5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7" t="s">
        <v>38</v>
      </c>
      <c r="F507" t="str">
        <f>IF((world_cup_matches9[[#This Row],[StageOrder]]&gt;=7),"High Pressure","Low Pressure")</f>
        <v>Low Pressure</v>
      </c>
      <c r="G507" t="s">
        <v>5</v>
      </c>
      <c r="H507">
        <v>1</v>
      </c>
      <c r="I507">
        <v>0</v>
      </c>
      <c r="J507" t="s">
        <v>88</v>
      </c>
      <c r="K507">
        <f>world_cup_matches9[[#This Row],[Home Goals]]+world_cup_matches9[[#This Row],[Away Goals]]</f>
        <v>1</v>
      </c>
      <c r="L507" t="s">
        <v>132</v>
      </c>
      <c r="M5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7" t="b">
        <v>0</v>
      </c>
    </row>
    <row r="508" spans="1:14" x14ac:dyDescent="0.3">
      <c r="A508">
        <v>747</v>
      </c>
      <c r="B508">
        <v>2010</v>
      </c>
      <c r="C508" s="2">
        <v>40352</v>
      </c>
      <c r="D508" s="3" cm="1">
        <f t="array" ref="D5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8" t="s">
        <v>38</v>
      </c>
      <c r="F508" t="str">
        <f>IF((world_cup_matches9[[#This Row],[StageOrder]]&gt;=7),"High Pressure","Low Pressure")</f>
        <v>Low Pressure</v>
      </c>
      <c r="G508" t="s">
        <v>28</v>
      </c>
      <c r="H508">
        <v>0</v>
      </c>
      <c r="I508">
        <v>1</v>
      </c>
      <c r="J508" t="s">
        <v>17</v>
      </c>
      <c r="K508">
        <f>world_cup_matches9[[#This Row],[Home Goals]]+world_cup_matches9[[#This Row],[Away Goals]]</f>
        <v>1</v>
      </c>
      <c r="L508" t="s">
        <v>132</v>
      </c>
      <c r="M5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8" t="b">
        <v>0</v>
      </c>
    </row>
    <row r="509" spans="1:14" x14ac:dyDescent="0.3">
      <c r="A509">
        <v>748</v>
      </c>
      <c r="B509">
        <v>2010</v>
      </c>
      <c r="C509" s="2">
        <v>40352</v>
      </c>
      <c r="D509" s="3" cm="1">
        <f t="array" ref="D5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09" t="s">
        <v>38</v>
      </c>
      <c r="F509" t="str">
        <f>IF((world_cup_matches9[[#This Row],[StageOrder]]&gt;=7),"High Pressure","Low Pressure")</f>
        <v>Low Pressure</v>
      </c>
      <c r="G509" t="s">
        <v>12</v>
      </c>
      <c r="H509">
        <v>2</v>
      </c>
      <c r="I509">
        <v>1</v>
      </c>
      <c r="J509" t="s">
        <v>24</v>
      </c>
      <c r="K509">
        <f>world_cup_matches9[[#This Row],[Home Goals]]+world_cup_matches9[[#This Row],[Away Goals]]</f>
        <v>3</v>
      </c>
      <c r="L509" t="s">
        <v>132</v>
      </c>
      <c r="M5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09" t="b">
        <v>0</v>
      </c>
    </row>
    <row r="510" spans="1:14" x14ac:dyDescent="0.3">
      <c r="A510">
        <v>749</v>
      </c>
      <c r="B510">
        <v>2010</v>
      </c>
      <c r="C510" s="2">
        <v>40353</v>
      </c>
      <c r="D510" s="3" cm="1">
        <f t="array" ref="D5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0" t="s">
        <v>38</v>
      </c>
      <c r="F510" t="str">
        <f>IF((world_cup_matches9[[#This Row],[StageOrder]]&gt;=7),"High Pressure","Low Pressure")</f>
        <v>Low Pressure</v>
      </c>
      <c r="G510" t="s">
        <v>77</v>
      </c>
      <c r="H510">
        <v>3</v>
      </c>
      <c r="I510">
        <v>2</v>
      </c>
      <c r="J510" t="s">
        <v>46</v>
      </c>
      <c r="K510">
        <f>world_cup_matches9[[#This Row],[Home Goals]]+world_cup_matches9[[#This Row],[Away Goals]]</f>
        <v>5</v>
      </c>
      <c r="L510" t="s">
        <v>132</v>
      </c>
      <c r="M5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0" t="b">
        <v>0</v>
      </c>
    </row>
    <row r="511" spans="1:14" x14ac:dyDescent="0.3">
      <c r="A511">
        <v>750</v>
      </c>
      <c r="B511">
        <v>2010</v>
      </c>
      <c r="C511" s="2">
        <v>40353</v>
      </c>
      <c r="D511" s="3" cm="1">
        <f t="array" ref="D5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1" t="s">
        <v>38</v>
      </c>
      <c r="F511" t="str">
        <f>IF((world_cup_matches9[[#This Row],[StageOrder]]&gt;=7),"High Pressure","Low Pressure")</f>
        <v>Low Pressure</v>
      </c>
      <c r="G511" t="s">
        <v>65</v>
      </c>
      <c r="H511">
        <v>0</v>
      </c>
      <c r="I511">
        <v>0</v>
      </c>
      <c r="J511" t="s">
        <v>67</v>
      </c>
      <c r="K511">
        <f>world_cup_matches9[[#This Row],[Home Goals]]+world_cup_matches9[[#This Row],[Away Goals]]</f>
        <v>0</v>
      </c>
      <c r="L511" t="s">
        <v>132</v>
      </c>
      <c r="M5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1" t="b">
        <v>0</v>
      </c>
    </row>
    <row r="512" spans="1:14" x14ac:dyDescent="0.3">
      <c r="A512">
        <v>751</v>
      </c>
      <c r="B512">
        <v>2010</v>
      </c>
      <c r="C512" s="2">
        <v>40353</v>
      </c>
      <c r="D512" s="3" cm="1">
        <f t="array" ref="D5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2" t="s">
        <v>38</v>
      </c>
      <c r="F512" t="str">
        <f>IF((world_cup_matches9[[#This Row],[StageOrder]]&gt;=7),"High Pressure","Low Pressure")</f>
        <v>Low Pressure</v>
      </c>
      <c r="G512" t="s">
        <v>13</v>
      </c>
      <c r="H512">
        <v>1</v>
      </c>
      <c r="I512">
        <v>3</v>
      </c>
      <c r="J512" t="s">
        <v>18</v>
      </c>
      <c r="K512">
        <f>world_cup_matches9[[#This Row],[Home Goals]]+world_cup_matches9[[#This Row],[Away Goals]]</f>
        <v>4</v>
      </c>
      <c r="L512" t="s">
        <v>132</v>
      </c>
      <c r="M5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2" t="b">
        <v>0</v>
      </c>
    </row>
    <row r="513" spans="1:14" x14ac:dyDescent="0.3">
      <c r="A513">
        <v>752</v>
      </c>
      <c r="B513">
        <v>2010</v>
      </c>
      <c r="C513" s="2">
        <v>40353</v>
      </c>
      <c r="D513" s="3" cm="1">
        <f t="array" ref="D5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3" t="s">
        <v>38</v>
      </c>
      <c r="F513" t="str">
        <f>IF((world_cup_matches9[[#This Row],[StageOrder]]&gt;=7),"High Pressure","Low Pressure")</f>
        <v>Low Pressure</v>
      </c>
      <c r="G513" t="s">
        <v>26</v>
      </c>
      <c r="H513">
        <v>1</v>
      </c>
      <c r="I513">
        <v>2</v>
      </c>
      <c r="J513" t="s">
        <v>2</v>
      </c>
      <c r="K513">
        <f>world_cup_matches9[[#This Row],[Home Goals]]+world_cup_matches9[[#This Row],[Away Goals]]</f>
        <v>3</v>
      </c>
      <c r="L513" t="s">
        <v>132</v>
      </c>
      <c r="M5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3" t="b">
        <v>0</v>
      </c>
    </row>
    <row r="514" spans="1:14" x14ac:dyDescent="0.3">
      <c r="A514">
        <v>753</v>
      </c>
      <c r="B514">
        <v>2010</v>
      </c>
      <c r="C514" s="2">
        <v>40354</v>
      </c>
      <c r="D514" s="3" cm="1">
        <f t="array" ref="D5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4" t="s">
        <v>38</v>
      </c>
      <c r="F514" t="str">
        <f>IF((world_cup_matches9[[#This Row],[StageOrder]]&gt;=7),"High Pressure","Low Pressure")</f>
        <v>Low Pressure</v>
      </c>
      <c r="G514" t="s">
        <v>27</v>
      </c>
      <c r="H514">
        <v>0</v>
      </c>
      <c r="I514">
        <v>0</v>
      </c>
      <c r="J514" t="s">
        <v>23</v>
      </c>
      <c r="K514">
        <f>world_cup_matches9[[#This Row],[Home Goals]]+world_cup_matches9[[#This Row],[Away Goals]]</f>
        <v>0</v>
      </c>
      <c r="L514" t="s">
        <v>132</v>
      </c>
      <c r="M5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4" t="b">
        <v>0</v>
      </c>
    </row>
    <row r="515" spans="1:14" x14ac:dyDescent="0.3">
      <c r="A515">
        <v>754</v>
      </c>
      <c r="B515">
        <v>2010</v>
      </c>
      <c r="C515" s="2">
        <v>40354</v>
      </c>
      <c r="D515" s="3" cm="1">
        <f t="array" ref="D5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5" t="s">
        <v>38</v>
      </c>
      <c r="F515" t="str">
        <f>IF((world_cup_matches9[[#This Row],[StageOrder]]&gt;=7),"High Pressure","Low Pressure")</f>
        <v>Low Pressure</v>
      </c>
      <c r="G515" t="s">
        <v>91</v>
      </c>
      <c r="H515">
        <v>0</v>
      </c>
      <c r="I515">
        <v>3</v>
      </c>
      <c r="J515" t="s">
        <v>86</v>
      </c>
      <c r="K515">
        <f>world_cup_matches9[[#This Row],[Home Goals]]+world_cup_matches9[[#This Row],[Away Goals]]</f>
        <v>3</v>
      </c>
      <c r="L515" t="s">
        <v>132</v>
      </c>
      <c r="M5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5" t="b">
        <v>0</v>
      </c>
    </row>
    <row r="516" spans="1:14" x14ac:dyDescent="0.3">
      <c r="A516">
        <v>755</v>
      </c>
      <c r="B516">
        <v>2010</v>
      </c>
      <c r="C516" s="2">
        <v>40354</v>
      </c>
      <c r="D516" s="3" cm="1">
        <f t="array" ref="D5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6" t="s">
        <v>38</v>
      </c>
      <c r="F516" t="str">
        <f>IF((world_cup_matches9[[#This Row],[StageOrder]]&gt;=7),"High Pressure","Low Pressure")</f>
        <v>Low Pressure</v>
      </c>
      <c r="G516" t="s">
        <v>63</v>
      </c>
      <c r="H516">
        <v>1</v>
      </c>
      <c r="I516">
        <v>2</v>
      </c>
      <c r="J516" t="s">
        <v>15</v>
      </c>
      <c r="K516">
        <f>world_cup_matches9[[#This Row],[Home Goals]]+world_cup_matches9[[#This Row],[Away Goals]]</f>
        <v>3</v>
      </c>
      <c r="L516" t="s">
        <v>132</v>
      </c>
      <c r="M5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6" t="b">
        <v>0</v>
      </c>
    </row>
    <row r="517" spans="1:14" x14ac:dyDescent="0.3">
      <c r="A517">
        <v>756</v>
      </c>
      <c r="B517">
        <v>2010</v>
      </c>
      <c r="C517" s="2">
        <v>40354</v>
      </c>
      <c r="D517" s="3" cm="1">
        <f t="array" ref="D5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7" t="s">
        <v>38</v>
      </c>
      <c r="F517" t="str">
        <f>IF((world_cup_matches9[[#This Row],[StageOrder]]&gt;=7),"High Pressure","Low Pressure")</f>
        <v>Low Pressure</v>
      </c>
      <c r="G517" t="s">
        <v>25</v>
      </c>
      <c r="H517">
        <v>0</v>
      </c>
      <c r="I517">
        <v>0</v>
      </c>
      <c r="J517" t="s">
        <v>79</v>
      </c>
      <c r="K517">
        <f>world_cup_matches9[[#This Row],[Home Goals]]+world_cup_matches9[[#This Row],[Away Goals]]</f>
        <v>0</v>
      </c>
      <c r="L517" t="s">
        <v>132</v>
      </c>
      <c r="M5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7" t="b">
        <v>0</v>
      </c>
    </row>
    <row r="518" spans="1:14" x14ac:dyDescent="0.3">
      <c r="A518">
        <v>773</v>
      </c>
      <c r="B518">
        <v>2014</v>
      </c>
      <c r="C518" s="2">
        <v>41802</v>
      </c>
      <c r="D518" s="3" cm="1">
        <f t="array" ref="D5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8" t="s">
        <v>38</v>
      </c>
      <c r="F518" t="str">
        <f>IF((world_cup_matches9[[#This Row],[StageOrder]]&gt;=7),"High Pressure","Low Pressure")</f>
        <v>Low Pressure</v>
      </c>
      <c r="G518" t="s">
        <v>23</v>
      </c>
      <c r="H518">
        <v>3</v>
      </c>
      <c r="I518">
        <v>1</v>
      </c>
      <c r="J518" t="s">
        <v>22</v>
      </c>
      <c r="K518">
        <f>world_cup_matches9[[#This Row],[Home Goals]]+world_cup_matches9[[#This Row],[Away Goals]]</f>
        <v>4</v>
      </c>
      <c r="L518" t="s">
        <v>132</v>
      </c>
      <c r="M5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8" t="b">
        <v>1</v>
      </c>
    </row>
    <row r="519" spans="1:14" x14ac:dyDescent="0.3">
      <c r="A519">
        <v>774</v>
      </c>
      <c r="B519">
        <v>2014</v>
      </c>
      <c r="C519" s="2">
        <v>41803</v>
      </c>
      <c r="D519" s="3" cm="1">
        <f t="array" ref="D5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19" t="s">
        <v>38</v>
      </c>
      <c r="F519" t="str">
        <f>IF((world_cup_matches9[[#This Row],[StageOrder]]&gt;=7),"High Pressure","Low Pressure")</f>
        <v>Low Pressure</v>
      </c>
      <c r="G519" t="s">
        <v>9</v>
      </c>
      <c r="H519">
        <v>1</v>
      </c>
      <c r="I519">
        <v>0</v>
      </c>
      <c r="J519" t="s">
        <v>26</v>
      </c>
      <c r="K519">
        <f>world_cup_matches9[[#This Row],[Home Goals]]+world_cup_matches9[[#This Row],[Away Goals]]</f>
        <v>1</v>
      </c>
      <c r="L519" t="s">
        <v>132</v>
      </c>
      <c r="M5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19" t="b">
        <v>0</v>
      </c>
    </row>
    <row r="520" spans="1:14" x14ac:dyDescent="0.3">
      <c r="A520">
        <v>775</v>
      </c>
      <c r="B520">
        <v>2014</v>
      </c>
      <c r="C520" s="2">
        <v>41803</v>
      </c>
      <c r="D520" s="3" cm="1">
        <f t="array" ref="D5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0" t="s">
        <v>38</v>
      </c>
      <c r="F520" t="str">
        <f>IF((world_cup_matches9[[#This Row],[StageOrder]]&gt;=7),"High Pressure","Low Pressure")</f>
        <v>Low Pressure</v>
      </c>
      <c r="G520" t="s">
        <v>15</v>
      </c>
      <c r="H520">
        <v>1</v>
      </c>
      <c r="I520">
        <v>5</v>
      </c>
      <c r="J520" t="s">
        <v>2</v>
      </c>
      <c r="K520">
        <f>world_cup_matches9[[#This Row],[Home Goals]]+world_cup_matches9[[#This Row],[Away Goals]]</f>
        <v>6</v>
      </c>
      <c r="L520" t="s">
        <v>132</v>
      </c>
      <c r="M5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0" t="b">
        <v>0</v>
      </c>
    </row>
    <row r="521" spans="1:14" x14ac:dyDescent="0.3">
      <c r="A521">
        <v>776</v>
      </c>
      <c r="B521">
        <v>2014</v>
      </c>
      <c r="C521" s="2">
        <v>41803</v>
      </c>
      <c r="D521" s="3" cm="1">
        <f t="array" ref="D5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1" t="s">
        <v>38</v>
      </c>
      <c r="F521" t="str">
        <f>IF((world_cup_matches9[[#This Row],[StageOrder]]&gt;=7),"High Pressure","Low Pressure")</f>
        <v>Low Pressure</v>
      </c>
      <c r="G521" t="s">
        <v>63</v>
      </c>
      <c r="H521">
        <v>3</v>
      </c>
      <c r="I521">
        <v>1</v>
      </c>
      <c r="J521" t="s">
        <v>12</v>
      </c>
      <c r="K521">
        <f>world_cup_matches9[[#This Row],[Home Goals]]+world_cup_matches9[[#This Row],[Away Goals]]</f>
        <v>4</v>
      </c>
      <c r="L521" t="s">
        <v>132</v>
      </c>
      <c r="M5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1" t="b">
        <v>0</v>
      </c>
    </row>
    <row r="522" spans="1:14" x14ac:dyDescent="0.3">
      <c r="A522">
        <v>777</v>
      </c>
      <c r="B522">
        <v>2014</v>
      </c>
      <c r="C522" s="2">
        <v>41804</v>
      </c>
      <c r="D522" s="3" cm="1">
        <f t="array" ref="D5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2" t="s">
        <v>38</v>
      </c>
      <c r="F522" t="str">
        <f>IF((world_cup_matches9[[#This Row],[StageOrder]]&gt;=7),"High Pressure","Low Pressure")</f>
        <v>Low Pressure</v>
      </c>
      <c r="G522" t="s">
        <v>53</v>
      </c>
      <c r="H522">
        <v>3</v>
      </c>
      <c r="I522">
        <v>0</v>
      </c>
      <c r="J522" t="s">
        <v>47</v>
      </c>
      <c r="K522">
        <f>world_cup_matches9[[#This Row],[Home Goals]]+world_cup_matches9[[#This Row],[Away Goals]]</f>
        <v>3</v>
      </c>
      <c r="L522" t="s">
        <v>132</v>
      </c>
      <c r="M5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2" t="b">
        <v>0</v>
      </c>
    </row>
    <row r="523" spans="1:14" x14ac:dyDescent="0.3">
      <c r="A523">
        <v>778</v>
      </c>
      <c r="B523">
        <v>2014</v>
      </c>
      <c r="C523" s="2">
        <v>41804</v>
      </c>
      <c r="D523" s="3" cm="1">
        <f t="array" ref="D5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3" t="s">
        <v>38</v>
      </c>
      <c r="F523" t="str">
        <f>IF((world_cup_matches9[[#This Row],[StageOrder]]&gt;=7),"High Pressure","Low Pressure")</f>
        <v>Low Pressure</v>
      </c>
      <c r="G523" t="s">
        <v>29</v>
      </c>
      <c r="H523">
        <v>1</v>
      </c>
      <c r="I523">
        <v>3</v>
      </c>
      <c r="J523" t="s">
        <v>16</v>
      </c>
      <c r="K523">
        <f>world_cup_matches9[[#This Row],[Home Goals]]+world_cup_matches9[[#This Row],[Away Goals]]</f>
        <v>4</v>
      </c>
      <c r="L523" t="s">
        <v>132</v>
      </c>
      <c r="M5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3" t="b">
        <v>0</v>
      </c>
    </row>
    <row r="524" spans="1:14" x14ac:dyDescent="0.3">
      <c r="A524">
        <v>779</v>
      </c>
      <c r="B524">
        <v>2014</v>
      </c>
      <c r="C524" s="2">
        <v>41804</v>
      </c>
      <c r="D524" s="3" cm="1">
        <f t="array" ref="D5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4" t="s">
        <v>38</v>
      </c>
      <c r="F524" t="str">
        <f>IF((world_cup_matches9[[#This Row],[StageOrder]]&gt;=7),"High Pressure","Low Pressure")</f>
        <v>Low Pressure</v>
      </c>
      <c r="G524" t="s">
        <v>3</v>
      </c>
      <c r="H524">
        <v>1</v>
      </c>
      <c r="I524">
        <v>2</v>
      </c>
      <c r="J524" t="s">
        <v>46</v>
      </c>
      <c r="K524">
        <f>world_cup_matches9[[#This Row],[Home Goals]]+world_cup_matches9[[#This Row],[Away Goals]]</f>
        <v>3</v>
      </c>
      <c r="L524" t="s">
        <v>132</v>
      </c>
      <c r="M5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4" t="b">
        <v>0</v>
      </c>
    </row>
    <row r="525" spans="1:14" x14ac:dyDescent="0.3">
      <c r="A525">
        <v>780</v>
      </c>
      <c r="B525">
        <v>2014</v>
      </c>
      <c r="C525" s="2">
        <v>41804</v>
      </c>
      <c r="D525" s="3" cm="1">
        <f t="array" ref="D5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5" t="s">
        <v>38</v>
      </c>
      <c r="F525" t="str">
        <f>IF((world_cup_matches9[[#This Row],[StageOrder]]&gt;=7),"High Pressure","Low Pressure")</f>
        <v>Low Pressure</v>
      </c>
      <c r="G525" t="s">
        <v>86</v>
      </c>
      <c r="H525">
        <v>2</v>
      </c>
      <c r="I525">
        <v>1</v>
      </c>
      <c r="J525" t="s">
        <v>18</v>
      </c>
      <c r="K525">
        <f>world_cup_matches9[[#This Row],[Home Goals]]+world_cup_matches9[[#This Row],[Away Goals]]</f>
        <v>3</v>
      </c>
      <c r="L525" t="s">
        <v>132</v>
      </c>
      <c r="M5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5" t="b">
        <v>0</v>
      </c>
    </row>
    <row r="526" spans="1:14" x14ac:dyDescent="0.3">
      <c r="A526">
        <v>781</v>
      </c>
      <c r="B526">
        <v>2014</v>
      </c>
      <c r="C526" s="2">
        <v>41805</v>
      </c>
      <c r="D526" s="3" cm="1">
        <f t="array" ref="D5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6" t="s">
        <v>38</v>
      </c>
      <c r="F526" t="str">
        <f>IF((world_cup_matches9[[#This Row],[StageOrder]]&gt;=7),"High Pressure","Low Pressure")</f>
        <v>Low Pressure</v>
      </c>
      <c r="G526" t="s">
        <v>25</v>
      </c>
      <c r="H526">
        <v>2</v>
      </c>
      <c r="I526">
        <v>1</v>
      </c>
      <c r="J526" t="s">
        <v>0</v>
      </c>
      <c r="K526">
        <f>world_cup_matches9[[#This Row],[Home Goals]]+world_cup_matches9[[#This Row],[Away Goals]]</f>
        <v>3</v>
      </c>
      <c r="L526" t="s">
        <v>132</v>
      </c>
      <c r="M5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6" t="b">
        <v>0</v>
      </c>
    </row>
    <row r="527" spans="1:14" x14ac:dyDescent="0.3">
      <c r="A527">
        <v>782</v>
      </c>
      <c r="B527">
        <v>2014</v>
      </c>
      <c r="C527" s="2">
        <v>41805</v>
      </c>
      <c r="D527" s="3" cm="1">
        <f t="array" ref="D5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7" t="s">
        <v>38</v>
      </c>
      <c r="F527" t="str">
        <f>IF((world_cup_matches9[[#This Row],[StageOrder]]&gt;=7),"High Pressure","Low Pressure")</f>
        <v>Low Pressure</v>
      </c>
      <c r="G527" t="s">
        <v>11</v>
      </c>
      <c r="H527">
        <v>3</v>
      </c>
      <c r="I527">
        <v>0</v>
      </c>
      <c r="J527" t="s">
        <v>79</v>
      </c>
      <c r="K527">
        <f>world_cup_matches9[[#This Row],[Home Goals]]+world_cup_matches9[[#This Row],[Away Goals]]</f>
        <v>3</v>
      </c>
      <c r="L527" t="s">
        <v>132</v>
      </c>
      <c r="M5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7" t="b">
        <v>0</v>
      </c>
    </row>
    <row r="528" spans="1:14" x14ac:dyDescent="0.3">
      <c r="A528">
        <v>783</v>
      </c>
      <c r="B528">
        <v>2014</v>
      </c>
      <c r="C528" s="2">
        <v>41805</v>
      </c>
      <c r="D528" s="3" cm="1">
        <f t="array" ref="D5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8" t="s">
        <v>38</v>
      </c>
      <c r="F528" t="str">
        <f>IF((world_cup_matches9[[#This Row],[StageOrder]]&gt;=7),"High Pressure","Low Pressure")</f>
        <v>Low Pressure</v>
      </c>
      <c r="G528" t="s">
        <v>7</v>
      </c>
      <c r="H528">
        <v>2</v>
      </c>
      <c r="I528">
        <v>1</v>
      </c>
      <c r="J528" t="s">
        <v>96</v>
      </c>
      <c r="K528">
        <f>world_cup_matches9[[#This Row],[Home Goals]]+world_cup_matches9[[#This Row],[Away Goals]]</f>
        <v>3</v>
      </c>
      <c r="L528" t="s">
        <v>132</v>
      </c>
      <c r="M5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8" t="b">
        <v>0</v>
      </c>
    </row>
    <row r="529" spans="1:14" x14ac:dyDescent="0.3">
      <c r="A529">
        <v>784</v>
      </c>
      <c r="B529">
        <v>2014</v>
      </c>
      <c r="C529" s="2">
        <v>41806</v>
      </c>
      <c r="D529" s="3" cm="1">
        <f t="array" ref="D5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29" t="s">
        <v>38</v>
      </c>
      <c r="F529" t="str">
        <f>IF((world_cup_matches9[[#This Row],[StageOrder]]&gt;=7),"High Pressure","Low Pressure")</f>
        <v>Low Pressure</v>
      </c>
      <c r="G529" t="s">
        <v>17</v>
      </c>
      <c r="H529">
        <v>4</v>
      </c>
      <c r="I529">
        <v>0</v>
      </c>
      <c r="J529" t="s">
        <v>27</v>
      </c>
      <c r="K529">
        <f>world_cup_matches9[[#This Row],[Home Goals]]+world_cup_matches9[[#This Row],[Away Goals]]</f>
        <v>4</v>
      </c>
      <c r="L529" t="s">
        <v>132</v>
      </c>
      <c r="M5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29" t="b">
        <v>0</v>
      </c>
    </row>
    <row r="530" spans="1:14" x14ac:dyDescent="0.3">
      <c r="A530">
        <v>785</v>
      </c>
      <c r="B530">
        <v>2014</v>
      </c>
      <c r="C530" s="2">
        <v>41806</v>
      </c>
      <c r="D530" s="3" cm="1">
        <f t="array" ref="D5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0" t="s">
        <v>38</v>
      </c>
      <c r="F530" t="str">
        <f>IF((world_cup_matches9[[#This Row],[StageOrder]]&gt;=7),"High Pressure","Low Pressure")</f>
        <v>Low Pressure</v>
      </c>
      <c r="G530" t="s">
        <v>4</v>
      </c>
      <c r="H530">
        <v>0</v>
      </c>
      <c r="I530">
        <v>0</v>
      </c>
      <c r="J530" t="s">
        <v>82</v>
      </c>
      <c r="K530">
        <f>world_cup_matches9[[#This Row],[Home Goals]]+world_cup_matches9[[#This Row],[Away Goals]]</f>
        <v>0</v>
      </c>
      <c r="L530" t="s">
        <v>132</v>
      </c>
      <c r="M5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0" t="b">
        <v>0</v>
      </c>
    </row>
    <row r="531" spans="1:14" x14ac:dyDescent="0.3">
      <c r="A531">
        <v>786</v>
      </c>
      <c r="B531">
        <v>2014</v>
      </c>
      <c r="C531" s="2">
        <v>41806</v>
      </c>
      <c r="D531" s="3" cm="1">
        <f t="array" ref="D5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1" t="s">
        <v>38</v>
      </c>
      <c r="F531" t="str">
        <f>IF((world_cup_matches9[[#This Row],[StageOrder]]&gt;=7),"High Pressure","Low Pressure")</f>
        <v>Low Pressure</v>
      </c>
      <c r="G531" t="s">
        <v>28</v>
      </c>
      <c r="H531">
        <v>1</v>
      </c>
      <c r="I531">
        <v>2</v>
      </c>
      <c r="J531" t="s">
        <v>5</v>
      </c>
      <c r="K531">
        <f>world_cup_matches9[[#This Row],[Home Goals]]+world_cup_matches9[[#This Row],[Away Goals]]</f>
        <v>3</v>
      </c>
      <c r="L531" t="s">
        <v>132</v>
      </c>
      <c r="M5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1" t="b">
        <v>0</v>
      </c>
    </row>
    <row r="532" spans="1:14" x14ac:dyDescent="0.3">
      <c r="A532">
        <v>787</v>
      </c>
      <c r="B532">
        <v>2014</v>
      </c>
      <c r="C532" s="2">
        <v>41807</v>
      </c>
      <c r="D532" s="3" cm="1">
        <f t="array" ref="D5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2" t="s">
        <v>38</v>
      </c>
      <c r="F532" t="str">
        <f>IF((world_cup_matches9[[#This Row],[StageOrder]]&gt;=7),"High Pressure","Low Pressure")</f>
        <v>Low Pressure</v>
      </c>
      <c r="G532" t="s">
        <v>19</v>
      </c>
      <c r="H532">
        <v>2</v>
      </c>
      <c r="I532">
        <v>1</v>
      </c>
      <c r="J532" t="s">
        <v>88</v>
      </c>
      <c r="K532">
        <f>world_cup_matches9[[#This Row],[Home Goals]]+world_cup_matches9[[#This Row],[Away Goals]]</f>
        <v>3</v>
      </c>
      <c r="L532" t="s">
        <v>132</v>
      </c>
      <c r="M5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2" t="b">
        <v>0</v>
      </c>
    </row>
    <row r="533" spans="1:14" x14ac:dyDescent="0.3">
      <c r="A533">
        <v>788</v>
      </c>
      <c r="B533">
        <v>2014</v>
      </c>
      <c r="C533" s="2">
        <v>41807</v>
      </c>
      <c r="D533" s="3" cm="1">
        <f t="array" ref="D5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3" t="s">
        <v>38</v>
      </c>
      <c r="F533" t="str">
        <f>IF((world_cup_matches9[[#This Row],[StageOrder]]&gt;=7),"High Pressure","Low Pressure")</f>
        <v>Low Pressure</v>
      </c>
      <c r="G533" t="s">
        <v>23</v>
      </c>
      <c r="H533">
        <v>0</v>
      </c>
      <c r="I533">
        <v>0</v>
      </c>
      <c r="J533" t="s">
        <v>9</v>
      </c>
      <c r="K533">
        <f>world_cup_matches9[[#This Row],[Home Goals]]+world_cup_matches9[[#This Row],[Away Goals]]</f>
        <v>0</v>
      </c>
      <c r="L533" t="s">
        <v>132</v>
      </c>
      <c r="M5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3" t="b">
        <v>1</v>
      </c>
    </row>
    <row r="534" spans="1:14" x14ac:dyDescent="0.3">
      <c r="A534">
        <v>789</v>
      </c>
      <c r="B534">
        <v>2014</v>
      </c>
      <c r="C534" s="2">
        <v>41807</v>
      </c>
      <c r="D534" s="3" cm="1">
        <f t="array" ref="D5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4" t="s">
        <v>38</v>
      </c>
      <c r="F534" t="str">
        <f>IF((world_cup_matches9[[#This Row],[StageOrder]]&gt;=7),"High Pressure","Low Pressure")</f>
        <v>Low Pressure</v>
      </c>
      <c r="G534" t="s">
        <v>54</v>
      </c>
      <c r="H534">
        <v>1</v>
      </c>
      <c r="I534">
        <v>1</v>
      </c>
      <c r="J534" t="s">
        <v>30</v>
      </c>
      <c r="K534">
        <f>world_cup_matches9[[#This Row],[Home Goals]]+world_cup_matches9[[#This Row],[Away Goals]]</f>
        <v>2</v>
      </c>
      <c r="L534" t="s">
        <v>132</v>
      </c>
      <c r="M5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4" t="b">
        <v>0</v>
      </c>
    </row>
    <row r="535" spans="1:14" x14ac:dyDescent="0.3">
      <c r="A535">
        <v>790</v>
      </c>
      <c r="B535">
        <v>2014</v>
      </c>
      <c r="C535" s="2">
        <v>41808</v>
      </c>
      <c r="D535" s="3" cm="1">
        <f t="array" ref="D5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5" t="s">
        <v>38</v>
      </c>
      <c r="F535" t="str">
        <f>IF((world_cup_matches9[[#This Row],[StageOrder]]&gt;=7),"High Pressure","Low Pressure")</f>
        <v>Low Pressure</v>
      </c>
      <c r="G535" t="s">
        <v>12</v>
      </c>
      <c r="H535">
        <v>2</v>
      </c>
      <c r="I535">
        <v>3</v>
      </c>
      <c r="J535" t="s">
        <v>2</v>
      </c>
      <c r="K535">
        <f>world_cup_matches9[[#This Row],[Home Goals]]+world_cup_matches9[[#This Row],[Away Goals]]</f>
        <v>5</v>
      </c>
      <c r="L535" t="s">
        <v>132</v>
      </c>
      <c r="M5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5" t="b">
        <v>0</v>
      </c>
    </row>
    <row r="536" spans="1:14" x14ac:dyDescent="0.3">
      <c r="A536">
        <v>791</v>
      </c>
      <c r="B536">
        <v>2014</v>
      </c>
      <c r="C536" s="2">
        <v>41808</v>
      </c>
      <c r="D536" s="3" cm="1">
        <f t="array" ref="D5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6" t="s">
        <v>38</v>
      </c>
      <c r="F536" t="str">
        <f>IF((world_cup_matches9[[#This Row],[StageOrder]]&gt;=7),"High Pressure","Low Pressure")</f>
        <v>Low Pressure</v>
      </c>
      <c r="G536" t="s">
        <v>15</v>
      </c>
      <c r="H536">
        <v>0</v>
      </c>
      <c r="I536">
        <v>2</v>
      </c>
      <c r="J536" t="s">
        <v>63</v>
      </c>
      <c r="K536">
        <f>world_cup_matches9[[#This Row],[Home Goals]]+world_cup_matches9[[#This Row],[Away Goals]]</f>
        <v>2</v>
      </c>
      <c r="L536" t="s">
        <v>132</v>
      </c>
      <c r="M5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6" t="b">
        <v>0</v>
      </c>
    </row>
    <row r="537" spans="1:14" x14ac:dyDescent="0.3">
      <c r="A537">
        <v>792</v>
      </c>
      <c r="B537">
        <v>2014</v>
      </c>
      <c r="C537" s="2">
        <v>41808</v>
      </c>
      <c r="D537" s="3" cm="1">
        <f t="array" ref="D5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7" t="s">
        <v>38</v>
      </c>
      <c r="F537" t="str">
        <f>IF((world_cup_matches9[[#This Row],[StageOrder]]&gt;=7),"High Pressure","Low Pressure")</f>
        <v>Low Pressure</v>
      </c>
      <c r="G537" t="s">
        <v>26</v>
      </c>
      <c r="H537">
        <v>0</v>
      </c>
      <c r="I537">
        <v>4</v>
      </c>
      <c r="J537" t="s">
        <v>22</v>
      </c>
      <c r="K537">
        <f>world_cup_matches9[[#This Row],[Home Goals]]+world_cup_matches9[[#This Row],[Away Goals]]</f>
        <v>4</v>
      </c>
      <c r="L537" t="s">
        <v>132</v>
      </c>
      <c r="M5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7" t="b">
        <v>0</v>
      </c>
    </row>
    <row r="538" spans="1:14" x14ac:dyDescent="0.3">
      <c r="A538">
        <v>793</v>
      </c>
      <c r="B538">
        <v>2014</v>
      </c>
      <c r="C538" s="2">
        <v>41809</v>
      </c>
      <c r="D538" s="3" cm="1">
        <f t="array" ref="D5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8" t="s">
        <v>38</v>
      </c>
      <c r="F538" t="str">
        <f>IF((world_cup_matches9[[#This Row],[StageOrder]]&gt;=7),"High Pressure","Low Pressure")</f>
        <v>Low Pressure</v>
      </c>
      <c r="G538" t="s">
        <v>53</v>
      </c>
      <c r="H538">
        <v>2</v>
      </c>
      <c r="I538">
        <v>1</v>
      </c>
      <c r="J538" t="s">
        <v>86</v>
      </c>
      <c r="K538">
        <f>world_cup_matches9[[#This Row],[Home Goals]]+world_cup_matches9[[#This Row],[Away Goals]]</f>
        <v>3</v>
      </c>
      <c r="L538" t="s">
        <v>132</v>
      </c>
      <c r="M5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8" t="b">
        <v>0</v>
      </c>
    </row>
    <row r="539" spans="1:14" x14ac:dyDescent="0.3">
      <c r="A539">
        <v>794</v>
      </c>
      <c r="B539">
        <v>2014</v>
      </c>
      <c r="C539" s="2">
        <v>41809</v>
      </c>
      <c r="D539" s="3" cm="1">
        <f t="array" ref="D5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39" t="s">
        <v>38</v>
      </c>
      <c r="F539" t="str">
        <f>IF((world_cup_matches9[[#This Row],[StageOrder]]&gt;=7),"High Pressure","Low Pressure")</f>
        <v>Low Pressure</v>
      </c>
      <c r="G539" t="s">
        <v>29</v>
      </c>
      <c r="H539">
        <v>2</v>
      </c>
      <c r="I539">
        <v>1</v>
      </c>
      <c r="J539" t="s">
        <v>3</v>
      </c>
      <c r="K539">
        <f>world_cup_matches9[[#This Row],[Home Goals]]+world_cup_matches9[[#This Row],[Away Goals]]</f>
        <v>3</v>
      </c>
      <c r="L539" t="s">
        <v>132</v>
      </c>
      <c r="M5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39" t="b">
        <v>0</v>
      </c>
    </row>
    <row r="540" spans="1:14" x14ac:dyDescent="0.3">
      <c r="A540">
        <v>795</v>
      </c>
      <c r="B540">
        <v>2014</v>
      </c>
      <c r="C540" s="2">
        <v>41809</v>
      </c>
      <c r="D540" s="3" cm="1">
        <f t="array" ref="D5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0" t="s">
        <v>38</v>
      </c>
      <c r="F540" t="str">
        <f>IF((world_cup_matches9[[#This Row],[StageOrder]]&gt;=7),"High Pressure","Low Pressure")</f>
        <v>Low Pressure</v>
      </c>
      <c r="G540" t="s">
        <v>18</v>
      </c>
      <c r="H540">
        <v>0</v>
      </c>
      <c r="I540">
        <v>0</v>
      </c>
      <c r="J540" t="s">
        <v>47</v>
      </c>
      <c r="K540">
        <f>world_cup_matches9[[#This Row],[Home Goals]]+world_cup_matches9[[#This Row],[Away Goals]]</f>
        <v>0</v>
      </c>
      <c r="L540" t="s">
        <v>132</v>
      </c>
      <c r="M5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0" t="b">
        <v>0</v>
      </c>
    </row>
    <row r="541" spans="1:14" x14ac:dyDescent="0.3">
      <c r="A541">
        <v>796</v>
      </c>
      <c r="B541">
        <v>2014</v>
      </c>
      <c r="C541" s="2">
        <v>41810</v>
      </c>
      <c r="D541" s="3" cm="1">
        <f t="array" ref="D5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1" t="s">
        <v>38</v>
      </c>
      <c r="F541" t="str">
        <f>IF((world_cup_matches9[[#This Row],[StageOrder]]&gt;=7),"High Pressure","Low Pressure")</f>
        <v>Low Pressure</v>
      </c>
      <c r="G541" t="s">
        <v>46</v>
      </c>
      <c r="H541">
        <v>0</v>
      </c>
      <c r="I541">
        <v>1</v>
      </c>
      <c r="J541" t="s">
        <v>16</v>
      </c>
      <c r="K541">
        <f>world_cup_matches9[[#This Row],[Home Goals]]+world_cup_matches9[[#This Row],[Away Goals]]</f>
        <v>1</v>
      </c>
      <c r="L541" t="s">
        <v>132</v>
      </c>
      <c r="M5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1" t="b">
        <v>0</v>
      </c>
    </row>
    <row r="542" spans="1:14" x14ac:dyDescent="0.3">
      <c r="A542">
        <v>797</v>
      </c>
      <c r="B542">
        <v>2014</v>
      </c>
      <c r="C542" s="2">
        <v>41810</v>
      </c>
      <c r="D542" s="3" cm="1">
        <f t="array" ref="D5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2" t="s">
        <v>38</v>
      </c>
      <c r="F542" t="str">
        <f>IF((world_cup_matches9[[#This Row],[StageOrder]]&gt;=7),"High Pressure","Low Pressure")</f>
        <v>Low Pressure</v>
      </c>
      <c r="G542" t="s">
        <v>25</v>
      </c>
      <c r="H542">
        <v>2</v>
      </c>
      <c r="I542">
        <v>5</v>
      </c>
      <c r="J542" t="s">
        <v>11</v>
      </c>
      <c r="K542">
        <f>world_cup_matches9[[#This Row],[Home Goals]]+world_cup_matches9[[#This Row],[Away Goals]]</f>
        <v>7</v>
      </c>
      <c r="L542" t="s">
        <v>132</v>
      </c>
      <c r="M5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2" t="b">
        <v>0</v>
      </c>
    </row>
    <row r="543" spans="1:14" x14ac:dyDescent="0.3">
      <c r="A543">
        <v>798</v>
      </c>
      <c r="B543">
        <v>2014</v>
      </c>
      <c r="C543" s="2">
        <v>41810</v>
      </c>
      <c r="D543" s="3" cm="1">
        <f t="array" ref="D5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3" t="s">
        <v>38</v>
      </c>
      <c r="F543" t="str">
        <f>IF((world_cup_matches9[[#This Row],[StageOrder]]&gt;=7),"High Pressure","Low Pressure")</f>
        <v>Low Pressure</v>
      </c>
      <c r="G543" t="s">
        <v>79</v>
      </c>
      <c r="H543">
        <v>1</v>
      </c>
      <c r="I543">
        <v>2</v>
      </c>
      <c r="J543" t="s">
        <v>0</v>
      </c>
      <c r="K543">
        <f>world_cup_matches9[[#This Row],[Home Goals]]+world_cup_matches9[[#This Row],[Away Goals]]</f>
        <v>3</v>
      </c>
      <c r="L543" t="s">
        <v>132</v>
      </c>
      <c r="M5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3" t="b">
        <v>0</v>
      </c>
    </row>
    <row r="544" spans="1:14" x14ac:dyDescent="0.3">
      <c r="A544">
        <v>799</v>
      </c>
      <c r="B544">
        <v>2014</v>
      </c>
      <c r="C544" s="2">
        <v>41811</v>
      </c>
      <c r="D544" s="3" cm="1">
        <f t="array" ref="D5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4" t="s">
        <v>38</v>
      </c>
      <c r="F544" t="str">
        <f>IF((world_cup_matches9[[#This Row],[StageOrder]]&gt;=7),"High Pressure","Low Pressure")</f>
        <v>Low Pressure</v>
      </c>
      <c r="G544" t="s">
        <v>7</v>
      </c>
      <c r="H544">
        <v>1</v>
      </c>
      <c r="I544">
        <v>0</v>
      </c>
      <c r="J544" t="s">
        <v>4</v>
      </c>
      <c r="K544">
        <f>world_cup_matches9[[#This Row],[Home Goals]]+world_cup_matches9[[#This Row],[Away Goals]]</f>
        <v>1</v>
      </c>
      <c r="L544" t="s">
        <v>132</v>
      </c>
      <c r="M5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4" t="b">
        <v>0</v>
      </c>
    </row>
    <row r="545" spans="1:14" x14ac:dyDescent="0.3">
      <c r="A545">
        <v>800</v>
      </c>
      <c r="B545">
        <v>2014</v>
      </c>
      <c r="C545" s="2">
        <v>41811</v>
      </c>
      <c r="D545" s="3" cm="1">
        <f t="array" ref="D5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5" t="s">
        <v>38</v>
      </c>
      <c r="F545" t="str">
        <f>IF((world_cup_matches9[[#This Row],[StageOrder]]&gt;=7),"High Pressure","Low Pressure")</f>
        <v>Low Pressure</v>
      </c>
      <c r="G545" t="s">
        <v>17</v>
      </c>
      <c r="H545">
        <v>2</v>
      </c>
      <c r="I545">
        <v>2</v>
      </c>
      <c r="J545" t="s">
        <v>28</v>
      </c>
      <c r="K545">
        <f>world_cup_matches9[[#This Row],[Home Goals]]+world_cup_matches9[[#This Row],[Away Goals]]</f>
        <v>4</v>
      </c>
      <c r="L545" t="s">
        <v>132</v>
      </c>
      <c r="M5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5" t="b">
        <v>0</v>
      </c>
    </row>
    <row r="546" spans="1:14" x14ac:dyDescent="0.3">
      <c r="A546">
        <v>801</v>
      </c>
      <c r="B546">
        <v>2014</v>
      </c>
      <c r="C546" s="2">
        <v>41811</v>
      </c>
      <c r="D546" s="3" cm="1">
        <f t="array" ref="D5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6" t="s">
        <v>38</v>
      </c>
      <c r="F546" t="str">
        <f>IF((world_cup_matches9[[#This Row],[StageOrder]]&gt;=7),"High Pressure","Low Pressure")</f>
        <v>Low Pressure</v>
      </c>
      <c r="G546" t="s">
        <v>82</v>
      </c>
      <c r="H546">
        <v>1</v>
      </c>
      <c r="I546">
        <v>0</v>
      </c>
      <c r="J546" t="s">
        <v>96</v>
      </c>
      <c r="K546">
        <f>world_cup_matches9[[#This Row],[Home Goals]]+world_cup_matches9[[#This Row],[Away Goals]]</f>
        <v>1</v>
      </c>
      <c r="L546" t="s">
        <v>132</v>
      </c>
      <c r="M5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6" t="b">
        <v>0</v>
      </c>
    </row>
    <row r="547" spans="1:14" x14ac:dyDescent="0.3">
      <c r="A547">
        <v>802</v>
      </c>
      <c r="B547">
        <v>2014</v>
      </c>
      <c r="C547" s="2">
        <v>41812</v>
      </c>
      <c r="D547" s="3" cm="1">
        <f t="array" ref="D5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7" t="s">
        <v>38</v>
      </c>
      <c r="F547" t="str">
        <f>IF((world_cup_matches9[[#This Row],[StageOrder]]&gt;=7),"High Pressure","Low Pressure")</f>
        <v>Low Pressure</v>
      </c>
      <c r="G547" t="s">
        <v>19</v>
      </c>
      <c r="H547">
        <v>1</v>
      </c>
      <c r="I547">
        <v>0</v>
      </c>
      <c r="J547" t="s">
        <v>54</v>
      </c>
      <c r="K547">
        <f>world_cup_matches9[[#This Row],[Home Goals]]+world_cup_matches9[[#This Row],[Away Goals]]</f>
        <v>1</v>
      </c>
      <c r="L547" t="s">
        <v>132</v>
      </c>
      <c r="M5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7" t="b">
        <v>0</v>
      </c>
    </row>
    <row r="548" spans="1:14" x14ac:dyDescent="0.3">
      <c r="A548">
        <v>803</v>
      </c>
      <c r="B548">
        <v>2014</v>
      </c>
      <c r="C548" s="2">
        <v>41812</v>
      </c>
      <c r="D548" s="3" cm="1">
        <f t="array" ref="D5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8" t="s">
        <v>38</v>
      </c>
      <c r="F548" t="str">
        <f>IF((world_cup_matches9[[#This Row],[StageOrder]]&gt;=7),"High Pressure","Low Pressure")</f>
        <v>Low Pressure</v>
      </c>
      <c r="G548" t="s">
        <v>30</v>
      </c>
      <c r="H548">
        <v>2</v>
      </c>
      <c r="I548">
        <v>4</v>
      </c>
      <c r="J548" t="s">
        <v>88</v>
      </c>
      <c r="K548">
        <f>world_cup_matches9[[#This Row],[Home Goals]]+world_cup_matches9[[#This Row],[Away Goals]]</f>
        <v>6</v>
      </c>
      <c r="L548" t="s">
        <v>132</v>
      </c>
      <c r="M5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8" t="b">
        <v>0</v>
      </c>
    </row>
    <row r="549" spans="1:14" x14ac:dyDescent="0.3">
      <c r="A549">
        <v>804</v>
      </c>
      <c r="B549">
        <v>2014</v>
      </c>
      <c r="C549" s="2">
        <v>41812</v>
      </c>
      <c r="D549" s="3" cm="1">
        <f t="array" ref="D5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49" t="s">
        <v>38</v>
      </c>
      <c r="F549" t="str">
        <f>IF((world_cup_matches9[[#This Row],[StageOrder]]&gt;=7),"High Pressure","Low Pressure")</f>
        <v>Low Pressure</v>
      </c>
      <c r="G549" t="s">
        <v>5</v>
      </c>
      <c r="H549">
        <v>2</v>
      </c>
      <c r="I549">
        <v>2</v>
      </c>
      <c r="J549" t="s">
        <v>27</v>
      </c>
      <c r="K549">
        <f>world_cup_matches9[[#This Row],[Home Goals]]+world_cup_matches9[[#This Row],[Away Goals]]</f>
        <v>4</v>
      </c>
      <c r="L549" t="s">
        <v>132</v>
      </c>
      <c r="M5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49" t="b">
        <v>0</v>
      </c>
    </row>
    <row r="550" spans="1:14" x14ac:dyDescent="0.3">
      <c r="A550">
        <v>805</v>
      </c>
      <c r="B550">
        <v>2014</v>
      </c>
      <c r="C550" s="2">
        <v>41813</v>
      </c>
      <c r="D550" s="3" cm="1">
        <f t="array" ref="D5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0" t="s">
        <v>38</v>
      </c>
      <c r="F550" t="str">
        <f>IF((world_cup_matches9[[#This Row],[StageOrder]]&gt;=7),"High Pressure","Low Pressure")</f>
        <v>Low Pressure</v>
      </c>
      <c r="G550" t="s">
        <v>12</v>
      </c>
      <c r="H550">
        <v>0</v>
      </c>
      <c r="I550">
        <v>3</v>
      </c>
      <c r="J550" t="s">
        <v>15</v>
      </c>
      <c r="K550">
        <f>world_cup_matches9[[#This Row],[Home Goals]]+world_cup_matches9[[#This Row],[Away Goals]]</f>
        <v>3</v>
      </c>
      <c r="L550" t="s">
        <v>132</v>
      </c>
      <c r="M5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0" t="b">
        <v>0</v>
      </c>
    </row>
    <row r="551" spans="1:14" x14ac:dyDescent="0.3">
      <c r="A551">
        <v>806</v>
      </c>
      <c r="B551">
        <v>2014</v>
      </c>
      <c r="C551" s="2">
        <v>41813</v>
      </c>
      <c r="D551" s="3" cm="1">
        <f t="array" ref="D5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1" t="s">
        <v>38</v>
      </c>
      <c r="F551" t="str">
        <f>IF((world_cup_matches9[[#This Row],[StageOrder]]&gt;=7),"High Pressure","Low Pressure")</f>
        <v>Low Pressure</v>
      </c>
      <c r="G551" t="s">
        <v>2</v>
      </c>
      <c r="H551">
        <v>2</v>
      </c>
      <c r="I551">
        <v>0</v>
      </c>
      <c r="J551" t="s">
        <v>63</v>
      </c>
      <c r="K551">
        <f>world_cup_matches9[[#This Row],[Home Goals]]+world_cup_matches9[[#This Row],[Away Goals]]</f>
        <v>2</v>
      </c>
      <c r="L551" t="s">
        <v>132</v>
      </c>
      <c r="M5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1" t="b">
        <v>0</v>
      </c>
    </row>
    <row r="552" spans="1:14" x14ac:dyDescent="0.3">
      <c r="A552">
        <v>807</v>
      </c>
      <c r="B552">
        <v>2014</v>
      </c>
      <c r="C552" s="2">
        <v>41813</v>
      </c>
      <c r="D552" s="3" cm="1">
        <f t="array" ref="D5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2" t="s">
        <v>38</v>
      </c>
      <c r="F552" t="str">
        <f>IF((world_cup_matches9[[#This Row],[StageOrder]]&gt;=7),"High Pressure","Low Pressure")</f>
        <v>Low Pressure</v>
      </c>
      <c r="G552" t="s">
        <v>23</v>
      </c>
      <c r="H552">
        <v>4</v>
      </c>
      <c r="I552">
        <v>1</v>
      </c>
      <c r="J552" t="s">
        <v>26</v>
      </c>
      <c r="K552">
        <f>world_cup_matches9[[#This Row],[Home Goals]]+world_cup_matches9[[#This Row],[Away Goals]]</f>
        <v>5</v>
      </c>
      <c r="L552" t="s">
        <v>132</v>
      </c>
      <c r="M5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2" t="b">
        <v>1</v>
      </c>
    </row>
    <row r="553" spans="1:14" x14ac:dyDescent="0.3">
      <c r="A553">
        <v>808</v>
      </c>
      <c r="B553">
        <v>2014</v>
      </c>
      <c r="C553" s="2">
        <v>41813</v>
      </c>
      <c r="D553" s="3" cm="1">
        <f t="array" ref="D5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3" t="s">
        <v>38</v>
      </c>
      <c r="F553" t="str">
        <f>IF((world_cup_matches9[[#This Row],[StageOrder]]&gt;=7),"High Pressure","Low Pressure")</f>
        <v>Low Pressure</v>
      </c>
      <c r="G553" t="s">
        <v>22</v>
      </c>
      <c r="H553">
        <v>1</v>
      </c>
      <c r="I553">
        <v>3</v>
      </c>
      <c r="J553" t="s">
        <v>9</v>
      </c>
      <c r="K553">
        <f>world_cup_matches9[[#This Row],[Home Goals]]+world_cup_matches9[[#This Row],[Away Goals]]</f>
        <v>4</v>
      </c>
      <c r="L553" t="s">
        <v>132</v>
      </c>
      <c r="M5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3" t="b">
        <v>0</v>
      </c>
    </row>
    <row r="554" spans="1:14" x14ac:dyDescent="0.3">
      <c r="A554">
        <v>809</v>
      </c>
      <c r="B554">
        <v>2014</v>
      </c>
      <c r="C554" s="2">
        <v>41814</v>
      </c>
      <c r="D554" s="3" cm="1">
        <f t="array" ref="D5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4" t="s">
        <v>38</v>
      </c>
      <c r="F554" t="str">
        <f>IF((world_cup_matches9[[#This Row],[StageOrder]]&gt;=7),"High Pressure","Low Pressure")</f>
        <v>Low Pressure</v>
      </c>
      <c r="G554" t="s">
        <v>46</v>
      </c>
      <c r="H554">
        <v>0</v>
      </c>
      <c r="I554">
        <v>1</v>
      </c>
      <c r="J554" t="s">
        <v>29</v>
      </c>
      <c r="K554">
        <f>world_cup_matches9[[#This Row],[Home Goals]]+world_cup_matches9[[#This Row],[Away Goals]]</f>
        <v>1</v>
      </c>
      <c r="L554" t="s">
        <v>132</v>
      </c>
      <c r="M5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4" t="b">
        <v>0</v>
      </c>
    </row>
    <row r="555" spans="1:14" x14ac:dyDescent="0.3">
      <c r="A555">
        <v>810</v>
      </c>
      <c r="B555">
        <v>2014</v>
      </c>
      <c r="C555" s="2">
        <v>41814</v>
      </c>
      <c r="D555" s="3" cm="1">
        <f t="array" ref="D5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5" t="s">
        <v>38</v>
      </c>
      <c r="F555" t="str">
        <f>IF((world_cup_matches9[[#This Row],[StageOrder]]&gt;=7),"High Pressure","Low Pressure")</f>
        <v>Low Pressure</v>
      </c>
      <c r="G555" t="s">
        <v>16</v>
      </c>
      <c r="H555">
        <v>0</v>
      </c>
      <c r="I555">
        <v>0</v>
      </c>
      <c r="J555" t="s">
        <v>3</v>
      </c>
      <c r="K555">
        <f>world_cup_matches9[[#This Row],[Home Goals]]+world_cup_matches9[[#This Row],[Away Goals]]</f>
        <v>0</v>
      </c>
      <c r="L555" t="s">
        <v>132</v>
      </c>
      <c r="M5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5" t="b">
        <v>0</v>
      </c>
    </row>
    <row r="556" spans="1:14" x14ac:dyDescent="0.3">
      <c r="A556">
        <v>811</v>
      </c>
      <c r="B556">
        <v>2014</v>
      </c>
      <c r="C556" s="2">
        <v>41814</v>
      </c>
      <c r="D556" s="3" cm="1">
        <f t="array" ref="D5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6" t="s">
        <v>38</v>
      </c>
      <c r="F556" t="str">
        <f>IF((world_cup_matches9[[#This Row],[StageOrder]]&gt;=7),"High Pressure","Low Pressure")</f>
        <v>Low Pressure</v>
      </c>
      <c r="G556" t="s">
        <v>18</v>
      </c>
      <c r="H556">
        <v>1</v>
      </c>
      <c r="I556">
        <v>4</v>
      </c>
      <c r="J556" t="s">
        <v>53</v>
      </c>
      <c r="K556">
        <f>world_cup_matches9[[#This Row],[Home Goals]]+world_cup_matches9[[#This Row],[Away Goals]]</f>
        <v>5</v>
      </c>
      <c r="L556" t="s">
        <v>132</v>
      </c>
      <c r="M5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6" t="b">
        <v>0</v>
      </c>
    </row>
    <row r="557" spans="1:14" x14ac:dyDescent="0.3">
      <c r="A557">
        <v>812</v>
      </c>
      <c r="B557">
        <v>2014</v>
      </c>
      <c r="C557" s="2">
        <v>41814</v>
      </c>
      <c r="D557" s="3" cm="1">
        <f t="array" ref="D5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7" t="s">
        <v>38</v>
      </c>
      <c r="F557" t="str">
        <f>IF((world_cup_matches9[[#This Row],[StageOrder]]&gt;=7),"High Pressure","Low Pressure")</f>
        <v>Low Pressure</v>
      </c>
      <c r="G557" t="s">
        <v>47</v>
      </c>
      <c r="H557">
        <v>2</v>
      </c>
      <c r="I557">
        <v>1</v>
      </c>
      <c r="J557" t="s">
        <v>86</v>
      </c>
      <c r="K557">
        <f>world_cup_matches9[[#This Row],[Home Goals]]+world_cup_matches9[[#This Row],[Away Goals]]</f>
        <v>3</v>
      </c>
      <c r="L557" t="s">
        <v>132</v>
      </c>
      <c r="M5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7" t="b">
        <v>0</v>
      </c>
    </row>
    <row r="558" spans="1:14" x14ac:dyDescent="0.3">
      <c r="A558">
        <v>813</v>
      </c>
      <c r="B558">
        <v>2014</v>
      </c>
      <c r="C558" s="2">
        <v>41815</v>
      </c>
      <c r="D558" s="3" cm="1">
        <f t="array" ref="D5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8" t="s">
        <v>38</v>
      </c>
      <c r="F558" t="str">
        <f>IF((world_cup_matches9[[#This Row],[StageOrder]]&gt;=7),"High Pressure","Low Pressure")</f>
        <v>Low Pressure</v>
      </c>
      <c r="G558" t="s">
        <v>82</v>
      </c>
      <c r="H558">
        <v>2</v>
      </c>
      <c r="I558">
        <v>3</v>
      </c>
      <c r="J558" t="s">
        <v>7</v>
      </c>
      <c r="K558">
        <f>world_cup_matches9[[#This Row],[Home Goals]]+world_cup_matches9[[#This Row],[Away Goals]]</f>
        <v>5</v>
      </c>
      <c r="L558" t="s">
        <v>132</v>
      </c>
      <c r="M5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8" t="b">
        <v>0</v>
      </c>
    </row>
    <row r="559" spans="1:14" x14ac:dyDescent="0.3">
      <c r="A559">
        <v>814</v>
      </c>
      <c r="B559">
        <v>2014</v>
      </c>
      <c r="C559" s="2">
        <v>41815</v>
      </c>
      <c r="D559" s="3" cm="1">
        <f t="array" ref="D5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59" t="s">
        <v>38</v>
      </c>
      <c r="F559" t="str">
        <f>IF((world_cup_matches9[[#This Row],[StageOrder]]&gt;=7),"High Pressure","Low Pressure")</f>
        <v>Low Pressure</v>
      </c>
      <c r="G559" t="s">
        <v>96</v>
      </c>
      <c r="H559">
        <v>3</v>
      </c>
      <c r="I559">
        <v>1</v>
      </c>
      <c r="J559" t="s">
        <v>4</v>
      </c>
      <c r="K559">
        <f>world_cup_matches9[[#This Row],[Home Goals]]+world_cup_matches9[[#This Row],[Away Goals]]</f>
        <v>4</v>
      </c>
      <c r="L559" t="s">
        <v>132</v>
      </c>
      <c r="M5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59" t="b">
        <v>0</v>
      </c>
    </row>
    <row r="560" spans="1:14" x14ac:dyDescent="0.3">
      <c r="A560">
        <v>815</v>
      </c>
      <c r="B560">
        <v>2014</v>
      </c>
      <c r="C560" s="2">
        <v>41815</v>
      </c>
      <c r="D560" s="3" cm="1">
        <f t="array" ref="D5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0" t="s">
        <v>38</v>
      </c>
      <c r="F560" t="str">
        <f>IF((world_cup_matches9[[#This Row],[StageOrder]]&gt;=7),"High Pressure","Low Pressure")</f>
        <v>Low Pressure</v>
      </c>
      <c r="G560" t="s">
        <v>79</v>
      </c>
      <c r="H560">
        <v>0</v>
      </c>
      <c r="I560">
        <v>3</v>
      </c>
      <c r="J560" t="s">
        <v>25</v>
      </c>
      <c r="K560">
        <f>world_cup_matches9[[#This Row],[Home Goals]]+world_cup_matches9[[#This Row],[Away Goals]]</f>
        <v>3</v>
      </c>
      <c r="L560" t="s">
        <v>132</v>
      </c>
      <c r="M5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0" t="b">
        <v>0</v>
      </c>
    </row>
    <row r="561" spans="1:14" x14ac:dyDescent="0.3">
      <c r="A561">
        <v>816</v>
      </c>
      <c r="B561">
        <v>2014</v>
      </c>
      <c r="C561" s="2">
        <v>41815</v>
      </c>
      <c r="D561" s="3" cm="1">
        <f t="array" ref="D5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1" t="s">
        <v>38</v>
      </c>
      <c r="F561" t="str">
        <f>IF((world_cup_matches9[[#This Row],[StageOrder]]&gt;=7),"High Pressure","Low Pressure")</f>
        <v>Low Pressure</v>
      </c>
      <c r="G561" t="s">
        <v>0</v>
      </c>
      <c r="H561">
        <v>0</v>
      </c>
      <c r="I561">
        <v>0</v>
      </c>
      <c r="J561" t="s">
        <v>11</v>
      </c>
      <c r="K561">
        <f>world_cup_matches9[[#This Row],[Home Goals]]+world_cup_matches9[[#This Row],[Away Goals]]</f>
        <v>0</v>
      </c>
      <c r="L561" t="s">
        <v>132</v>
      </c>
      <c r="M5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1" t="b">
        <v>0</v>
      </c>
    </row>
    <row r="562" spans="1:14" x14ac:dyDescent="0.3">
      <c r="A562">
        <v>817</v>
      </c>
      <c r="B562">
        <v>2014</v>
      </c>
      <c r="C562" s="2">
        <v>41816</v>
      </c>
      <c r="D562" s="3" cm="1">
        <f t="array" ref="D5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2" t="s">
        <v>38</v>
      </c>
      <c r="F562" t="str">
        <f>IF((world_cup_matches9[[#This Row],[StageOrder]]&gt;=7),"High Pressure","Low Pressure")</f>
        <v>Low Pressure</v>
      </c>
      <c r="G562" t="s">
        <v>5</v>
      </c>
      <c r="H562">
        <v>0</v>
      </c>
      <c r="I562">
        <v>1</v>
      </c>
      <c r="J562" t="s">
        <v>17</v>
      </c>
      <c r="K562">
        <f>world_cup_matches9[[#This Row],[Home Goals]]+world_cup_matches9[[#This Row],[Away Goals]]</f>
        <v>1</v>
      </c>
      <c r="L562" t="s">
        <v>132</v>
      </c>
      <c r="M5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2" t="b">
        <v>0</v>
      </c>
    </row>
    <row r="563" spans="1:14" x14ac:dyDescent="0.3">
      <c r="A563">
        <v>818</v>
      </c>
      <c r="B563">
        <v>2014</v>
      </c>
      <c r="C563" s="2">
        <v>41816</v>
      </c>
      <c r="D563" s="3" cm="1">
        <f t="array" ref="D5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3" t="s">
        <v>38</v>
      </c>
      <c r="F563" t="str">
        <f>IF((world_cup_matches9[[#This Row],[StageOrder]]&gt;=7),"High Pressure","Low Pressure")</f>
        <v>Low Pressure</v>
      </c>
      <c r="G563" t="s">
        <v>27</v>
      </c>
      <c r="H563">
        <v>2</v>
      </c>
      <c r="I563">
        <v>1</v>
      </c>
      <c r="J563" t="s">
        <v>28</v>
      </c>
      <c r="K563">
        <f>world_cup_matches9[[#This Row],[Home Goals]]+world_cup_matches9[[#This Row],[Away Goals]]</f>
        <v>3</v>
      </c>
      <c r="L563" t="s">
        <v>132</v>
      </c>
      <c r="M5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3" t="b">
        <v>0</v>
      </c>
    </row>
    <row r="564" spans="1:14" x14ac:dyDescent="0.3">
      <c r="A564">
        <v>819</v>
      </c>
      <c r="B564">
        <v>2014</v>
      </c>
      <c r="C564" s="2">
        <v>41816</v>
      </c>
      <c r="D564" s="3" cm="1">
        <f t="array" ref="D5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4" t="s">
        <v>38</v>
      </c>
      <c r="F564" t="str">
        <f>IF((world_cup_matches9[[#This Row],[StageOrder]]&gt;=7),"High Pressure","Low Pressure")</f>
        <v>Low Pressure</v>
      </c>
      <c r="G564" t="s">
        <v>30</v>
      </c>
      <c r="H564">
        <v>0</v>
      </c>
      <c r="I564">
        <v>1</v>
      </c>
      <c r="J564" t="s">
        <v>19</v>
      </c>
      <c r="K564">
        <f>world_cup_matches9[[#This Row],[Home Goals]]+world_cup_matches9[[#This Row],[Away Goals]]</f>
        <v>1</v>
      </c>
      <c r="L564" t="s">
        <v>132</v>
      </c>
      <c r="M5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4" t="b">
        <v>0</v>
      </c>
    </row>
    <row r="565" spans="1:14" x14ac:dyDescent="0.3">
      <c r="A565">
        <v>820</v>
      </c>
      <c r="B565">
        <v>2014</v>
      </c>
      <c r="C565" s="2">
        <v>41816</v>
      </c>
      <c r="D565" s="3" cm="1">
        <f t="array" ref="D5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5" t="s">
        <v>38</v>
      </c>
      <c r="F565" t="str">
        <f>IF((world_cup_matches9[[#This Row],[StageOrder]]&gt;=7),"High Pressure","Low Pressure")</f>
        <v>Low Pressure</v>
      </c>
      <c r="G565" t="s">
        <v>88</v>
      </c>
      <c r="H565">
        <v>1</v>
      </c>
      <c r="I565">
        <v>1</v>
      </c>
      <c r="J565" t="s">
        <v>54</v>
      </c>
      <c r="K565">
        <f>world_cup_matches9[[#This Row],[Home Goals]]+world_cup_matches9[[#This Row],[Away Goals]]</f>
        <v>2</v>
      </c>
      <c r="L565" t="s">
        <v>132</v>
      </c>
      <c r="M5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5" t="b">
        <v>0</v>
      </c>
    </row>
    <row r="566" spans="1:14" x14ac:dyDescent="0.3">
      <c r="A566">
        <v>837</v>
      </c>
      <c r="B566">
        <v>2018</v>
      </c>
      <c r="C566" s="2">
        <v>43265</v>
      </c>
      <c r="D566" s="3" cm="1">
        <f t="array" ref="D5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6" t="s">
        <v>38</v>
      </c>
      <c r="F566" t="str">
        <f>IF((world_cup_matches9[[#This Row],[StageOrder]]&gt;=7),"High Pressure","Low Pressure")</f>
        <v>Low Pressure</v>
      </c>
      <c r="G566" t="s">
        <v>54</v>
      </c>
      <c r="H566">
        <v>5</v>
      </c>
      <c r="I566">
        <v>0</v>
      </c>
      <c r="J566" t="s">
        <v>8</v>
      </c>
      <c r="K566">
        <f>world_cup_matches9[[#This Row],[Home Goals]]+world_cup_matches9[[#This Row],[Away Goals]]</f>
        <v>5</v>
      </c>
      <c r="L566" t="s">
        <v>132</v>
      </c>
      <c r="M5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6" t="b">
        <v>1</v>
      </c>
    </row>
    <row r="567" spans="1:14" x14ac:dyDescent="0.3">
      <c r="A567">
        <v>838</v>
      </c>
      <c r="B567">
        <v>2018</v>
      </c>
      <c r="C567" s="2">
        <v>43266</v>
      </c>
      <c r="D567" s="3" cm="1">
        <f t="array" ref="D5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7" t="s">
        <v>38</v>
      </c>
      <c r="F567" t="str">
        <f>IF((world_cup_matches9[[#This Row],[StageOrder]]&gt;=7),"High Pressure","Low Pressure")</f>
        <v>Low Pressure</v>
      </c>
      <c r="G567" t="s">
        <v>51</v>
      </c>
      <c r="H567">
        <v>0</v>
      </c>
      <c r="I567">
        <v>1</v>
      </c>
      <c r="J567" t="s">
        <v>29</v>
      </c>
      <c r="K567">
        <f>world_cup_matches9[[#This Row],[Home Goals]]+world_cup_matches9[[#This Row],[Away Goals]]</f>
        <v>1</v>
      </c>
      <c r="L567" t="s">
        <v>132</v>
      </c>
      <c r="M5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7" t="b">
        <v>0</v>
      </c>
    </row>
    <row r="568" spans="1:14" x14ac:dyDescent="0.3">
      <c r="A568">
        <v>839</v>
      </c>
      <c r="B568">
        <v>2018</v>
      </c>
      <c r="C568" s="2">
        <v>43266</v>
      </c>
      <c r="D568" s="3" cm="1">
        <f t="array" ref="D5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8" t="s">
        <v>38</v>
      </c>
      <c r="F568" t="str">
        <f>IF((world_cup_matches9[[#This Row],[StageOrder]]&gt;=7),"High Pressure","Low Pressure")</f>
        <v>Low Pressure</v>
      </c>
      <c r="G568" t="s">
        <v>21</v>
      </c>
      <c r="H568">
        <v>0</v>
      </c>
      <c r="I568">
        <v>1</v>
      </c>
      <c r="J568" t="s">
        <v>4</v>
      </c>
      <c r="K568">
        <f>world_cup_matches9[[#This Row],[Home Goals]]+world_cup_matches9[[#This Row],[Away Goals]]</f>
        <v>1</v>
      </c>
      <c r="L568" t="s">
        <v>132</v>
      </c>
      <c r="M5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8" t="b">
        <v>0</v>
      </c>
    </row>
    <row r="569" spans="1:14" x14ac:dyDescent="0.3">
      <c r="A569">
        <v>840</v>
      </c>
      <c r="B569">
        <v>2018</v>
      </c>
      <c r="C569" s="2">
        <v>43266</v>
      </c>
      <c r="D569" s="3" cm="1">
        <f t="array" ref="D5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69" t="s">
        <v>38</v>
      </c>
      <c r="F569" t="str">
        <f>IF((world_cup_matches9[[#This Row],[StageOrder]]&gt;=7),"High Pressure","Low Pressure")</f>
        <v>Low Pressure</v>
      </c>
      <c r="G569" t="s">
        <v>27</v>
      </c>
      <c r="H569">
        <v>3</v>
      </c>
      <c r="I569">
        <v>3</v>
      </c>
      <c r="J569" t="s">
        <v>15</v>
      </c>
      <c r="K569">
        <f>world_cup_matches9[[#This Row],[Home Goals]]+world_cup_matches9[[#This Row],[Away Goals]]</f>
        <v>6</v>
      </c>
      <c r="L569" t="s">
        <v>132</v>
      </c>
      <c r="M5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69" t="b">
        <v>0</v>
      </c>
    </row>
    <row r="570" spans="1:14" x14ac:dyDescent="0.3">
      <c r="A570">
        <v>841</v>
      </c>
      <c r="B570">
        <v>2018</v>
      </c>
      <c r="C570" s="2">
        <v>43267</v>
      </c>
      <c r="D570" s="3" cm="1">
        <f t="array" ref="D5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0" t="s">
        <v>38</v>
      </c>
      <c r="F570" t="str">
        <f>IF((world_cup_matches9[[#This Row],[StageOrder]]&gt;=7),"High Pressure","Low Pressure")</f>
        <v>Low Pressure</v>
      </c>
      <c r="G570" t="s">
        <v>11</v>
      </c>
      <c r="H570">
        <v>2</v>
      </c>
      <c r="I570">
        <v>1</v>
      </c>
      <c r="J570" t="s">
        <v>12</v>
      </c>
      <c r="K570">
        <f>world_cup_matches9[[#This Row],[Home Goals]]+world_cup_matches9[[#This Row],[Away Goals]]</f>
        <v>3</v>
      </c>
      <c r="L570" t="s">
        <v>132</v>
      </c>
      <c r="M5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0" t="b">
        <v>0</v>
      </c>
    </row>
    <row r="571" spans="1:14" x14ac:dyDescent="0.3">
      <c r="A571">
        <v>842</v>
      </c>
      <c r="B571">
        <v>2018</v>
      </c>
      <c r="C571" s="2">
        <v>43267</v>
      </c>
      <c r="D571" s="3" cm="1">
        <f t="array" ref="D5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1" t="s">
        <v>38</v>
      </c>
      <c r="F571" t="str">
        <f>IF((world_cup_matches9[[#This Row],[StageOrder]]&gt;=7),"High Pressure","Low Pressure")</f>
        <v>Low Pressure</v>
      </c>
      <c r="G571" t="s">
        <v>7</v>
      </c>
      <c r="H571">
        <v>1</v>
      </c>
      <c r="I571">
        <v>1</v>
      </c>
      <c r="J571" t="s">
        <v>80</v>
      </c>
      <c r="K571">
        <f>world_cup_matches9[[#This Row],[Home Goals]]+world_cup_matches9[[#This Row],[Away Goals]]</f>
        <v>2</v>
      </c>
      <c r="L571" t="s">
        <v>132</v>
      </c>
      <c r="M5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1" t="b">
        <v>0</v>
      </c>
    </row>
    <row r="572" spans="1:14" x14ac:dyDescent="0.3">
      <c r="A572">
        <v>843</v>
      </c>
      <c r="B572">
        <v>2018</v>
      </c>
      <c r="C572" s="2">
        <v>43267</v>
      </c>
      <c r="D572" s="3" cm="1">
        <f t="array" ref="D5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2" t="s">
        <v>38</v>
      </c>
      <c r="F572" t="str">
        <f>IF((world_cup_matches9[[#This Row],[StageOrder]]&gt;=7),"High Pressure","Low Pressure")</f>
        <v>Low Pressure</v>
      </c>
      <c r="G572" t="s">
        <v>72</v>
      </c>
      <c r="H572">
        <v>0</v>
      </c>
      <c r="I572">
        <v>1</v>
      </c>
      <c r="J572" t="s">
        <v>13</v>
      </c>
      <c r="K572">
        <f>world_cup_matches9[[#This Row],[Home Goals]]+world_cup_matches9[[#This Row],[Away Goals]]</f>
        <v>1</v>
      </c>
      <c r="L572" t="s">
        <v>132</v>
      </c>
      <c r="M5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2" t="b">
        <v>0</v>
      </c>
    </row>
    <row r="573" spans="1:14" x14ac:dyDescent="0.3">
      <c r="A573">
        <v>844</v>
      </c>
      <c r="B573">
        <v>2018</v>
      </c>
      <c r="C573" s="2">
        <v>43267</v>
      </c>
      <c r="D573" s="3" cm="1">
        <f t="array" ref="D5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3" t="s">
        <v>38</v>
      </c>
      <c r="F573" t="str">
        <f>IF((world_cup_matches9[[#This Row],[StageOrder]]&gt;=7),"High Pressure","Low Pressure")</f>
        <v>Low Pressure</v>
      </c>
      <c r="G573" t="s">
        <v>22</v>
      </c>
      <c r="H573">
        <v>2</v>
      </c>
      <c r="I573">
        <v>0</v>
      </c>
      <c r="J573" t="s">
        <v>82</v>
      </c>
      <c r="K573">
        <f>world_cup_matches9[[#This Row],[Home Goals]]+world_cup_matches9[[#This Row],[Away Goals]]</f>
        <v>2</v>
      </c>
      <c r="L573" t="s">
        <v>132</v>
      </c>
      <c r="M5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3" t="b">
        <v>0</v>
      </c>
    </row>
    <row r="574" spans="1:14" x14ac:dyDescent="0.3">
      <c r="A574">
        <v>845</v>
      </c>
      <c r="B574">
        <v>2018</v>
      </c>
      <c r="C574" s="2">
        <v>43268</v>
      </c>
      <c r="D574" s="3" cm="1">
        <f t="array" ref="D5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4" t="s">
        <v>38</v>
      </c>
      <c r="F574" t="str">
        <f>IF((world_cup_matches9[[#This Row],[StageOrder]]&gt;=7),"High Pressure","Low Pressure")</f>
        <v>Low Pressure</v>
      </c>
      <c r="G574" t="s">
        <v>16</v>
      </c>
      <c r="H574">
        <v>0</v>
      </c>
      <c r="I574">
        <v>1</v>
      </c>
      <c r="J574" t="s">
        <v>24</v>
      </c>
      <c r="K574">
        <f>world_cup_matches9[[#This Row],[Home Goals]]+world_cup_matches9[[#This Row],[Away Goals]]</f>
        <v>1</v>
      </c>
      <c r="L574" t="s">
        <v>132</v>
      </c>
      <c r="M5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4" t="b">
        <v>0</v>
      </c>
    </row>
    <row r="575" spans="1:14" x14ac:dyDescent="0.3">
      <c r="A575">
        <v>846</v>
      </c>
      <c r="B575">
        <v>2018</v>
      </c>
      <c r="C575" s="2">
        <v>43268</v>
      </c>
      <c r="D575" s="3" cm="1">
        <f t="array" ref="D5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5" t="s">
        <v>38</v>
      </c>
      <c r="F575" t="str">
        <f>IF((world_cup_matches9[[#This Row],[StageOrder]]&gt;=7),"High Pressure","Low Pressure")</f>
        <v>Low Pressure</v>
      </c>
      <c r="G575" t="s">
        <v>17</v>
      </c>
      <c r="H575">
        <v>0</v>
      </c>
      <c r="I575">
        <v>1</v>
      </c>
      <c r="J575" t="s">
        <v>9</v>
      </c>
      <c r="K575">
        <f>world_cup_matches9[[#This Row],[Home Goals]]+world_cup_matches9[[#This Row],[Away Goals]]</f>
        <v>1</v>
      </c>
      <c r="L575" t="s">
        <v>132</v>
      </c>
      <c r="M5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5" t="b">
        <v>0</v>
      </c>
    </row>
    <row r="576" spans="1:14" x14ac:dyDescent="0.3">
      <c r="A576">
        <v>847</v>
      </c>
      <c r="B576">
        <v>2018</v>
      </c>
      <c r="C576" s="2">
        <v>43268</v>
      </c>
      <c r="D576" s="3" cm="1">
        <f t="array" ref="D5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6" t="s">
        <v>38</v>
      </c>
      <c r="F576" t="str">
        <f>IF((world_cup_matches9[[#This Row],[StageOrder]]&gt;=7),"High Pressure","Low Pressure")</f>
        <v>Low Pressure</v>
      </c>
      <c r="G576" t="s">
        <v>23</v>
      </c>
      <c r="H576">
        <v>1</v>
      </c>
      <c r="I576">
        <v>1</v>
      </c>
      <c r="J576" t="s">
        <v>25</v>
      </c>
      <c r="K576">
        <f>world_cup_matches9[[#This Row],[Home Goals]]+world_cup_matches9[[#This Row],[Away Goals]]</f>
        <v>2</v>
      </c>
      <c r="L576" t="s">
        <v>132</v>
      </c>
      <c r="M5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6" t="b">
        <v>0</v>
      </c>
    </row>
    <row r="577" spans="1:14" x14ac:dyDescent="0.3">
      <c r="A577">
        <v>848</v>
      </c>
      <c r="B577">
        <v>2018</v>
      </c>
      <c r="C577" s="2">
        <v>43269</v>
      </c>
      <c r="D577" s="3" cm="1">
        <f t="array" ref="D5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7" t="s">
        <v>38</v>
      </c>
      <c r="F577" t="str">
        <f>IF((world_cup_matches9[[#This Row],[StageOrder]]&gt;=7),"High Pressure","Low Pressure")</f>
        <v>Low Pressure</v>
      </c>
      <c r="G577" t="s">
        <v>62</v>
      </c>
      <c r="H577">
        <v>1</v>
      </c>
      <c r="I577">
        <v>0</v>
      </c>
      <c r="J577" t="s">
        <v>30</v>
      </c>
      <c r="K577">
        <f>world_cup_matches9[[#This Row],[Home Goals]]+world_cup_matches9[[#This Row],[Away Goals]]</f>
        <v>1</v>
      </c>
      <c r="L577" t="s">
        <v>132</v>
      </c>
      <c r="M5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7" t="b">
        <v>0</v>
      </c>
    </row>
    <row r="578" spans="1:14" x14ac:dyDescent="0.3">
      <c r="A578">
        <v>849</v>
      </c>
      <c r="B578">
        <v>2018</v>
      </c>
      <c r="C578" s="2">
        <v>43269</v>
      </c>
      <c r="D578" s="3" cm="1">
        <f t="array" ref="D5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8" t="s">
        <v>38</v>
      </c>
      <c r="F578" t="str">
        <f>IF((world_cup_matches9[[#This Row],[StageOrder]]&gt;=7),"High Pressure","Low Pressure")</f>
        <v>Low Pressure</v>
      </c>
      <c r="G578" t="s">
        <v>19</v>
      </c>
      <c r="H578">
        <v>3</v>
      </c>
      <c r="I578">
        <v>0</v>
      </c>
      <c r="J578" t="s">
        <v>78</v>
      </c>
      <c r="K578">
        <f>world_cup_matches9[[#This Row],[Home Goals]]+world_cup_matches9[[#This Row],[Away Goals]]</f>
        <v>3</v>
      </c>
      <c r="L578" t="s">
        <v>132</v>
      </c>
      <c r="M5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8" t="b">
        <v>0</v>
      </c>
    </row>
    <row r="579" spans="1:14" x14ac:dyDescent="0.3">
      <c r="A579">
        <v>850</v>
      </c>
      <c r="B579">
        <v>2018</v>
      </c>
      <c r="C579" s="2">
        <v>43269</v>
      </c>
      <c r="D579" s="3" cm="1">
        <f t="array" ref="D5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79" t="s">
        <v>38</v>
      </c>
      <c r="F579" t="str">
        <f>IF((world_cup_matches9[[#This Row],[StageOrder]]&gt;=7),"High Pressure","Low Pressure")</f>
        <v>Low Pressure</v>
      </c>
      <c r="G579" t="s">
        <v>14</v>
      </c>
      <c r="H579">
        <v>1</v>
      </c>
      <c r="I579">
        <v>2</v>
      </c>
      <c r="J579" t="s">
        <v>3</v>
      </c>
      <c r="K579">
        <f>world_cup_matches9[[#This Row],[Home Goals]]+world_cup_matches9[[#This Row],[Away Goals]]</f>
        <v>3</v>
      </c>
      <c r="L579" t="s">
        <v>132</v>
      </c>
      <c r="M5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79" t="b">
        <v>0</v>
      </c>
    </row>
    <row r="580" spans="1:14" x14ac:dyDescent="0.3">
      <c r="A580">
        <v>851</v>
      </c>
      <c r="B580">
        <v>2018</v>
      </c>
      <c r="C580" s="2">
        <v>43270</v>
      </c>
      <c r="D580" s="3" cm="1">
        <f t="array" ref="D5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0" t="s">
        <v>38</v>
      </c>
      <c r="F580" t="str">
        <f>IF((world_cup_matches9[[#This Row],[StageOrder]]&gt;=7),"High Pressure","Low Pressure")</f>
        <v>Low Pressure</v>
      </c>
      <c r="G580" t="s">
        <v>53</v>
      </c>
      <c r="H580">
        <v>1</v>
      </c>
      <c r="I580">
        <v>2</v>
      </c>
      <c r="J580" t="s">
        <v>18</v>
      </c>
      <c r="K580">
        <f>world_cup_matches9[[#This Row],[Home Goals]]+world_cup_matches9[[#This Row],[Away Goals]]</f>
        <v>3</v>
      </c>
      <c r="L580" t="s">
        <v>132</v>
      </c>
      <c r="M5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0" t="b">
        <v>0</v>
      </c>
    </row>
    <row r="581" spans="1:14" x14ac:dyDescent="0.3">
      <c r="A581">
        <v>852</v>
      </c>
      <c r="B581">
        <v>2018</v>
      </c>
      <c r="C581" s="2">
        <v>43270</v>
      </c>
      <c r="D581" s="3" cm="1">
        <f t="array" ref="D5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1" t="s">
        <v>38</v>
      </c>
      <c r="F581" t="str">
        <f>IF((world_cup_matches9[[#This Row],[StageOrder]]&gt;=7),"High Pressure","Low Pressure")</f>
        <v>Low Pressure</v>
      </c>
      <c r="G581" t="s">
        <v>10</v>
      </c>
      <c r="H581">
        <v>1</v>
      </c>
      <c r="I581">
        <v>2</v>
      </c>
      <c r="J581" t="s">
        <v>1</v>
      </c>
      <c r="K581">
        <f>world_cup_matches9[[#This Row],[Home Goals]]+world_cup_matches9[[#This Row],[Away Goals]]</f>
        <v>3</v>
      </c>
      <c r="L581" t="s">
        <v>132</v>
      </c>
      <c r="M5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1" t="b">
        <v>0</v>
      </c>
    </row>
    <row r="582" spans="1:14" x14ac:dyDescent="0.3">
      <c r="A582">
        <v>853</v>
      </c>
      <c r="B582">
        <v>2018</v>
      </c>
      <c r="C582" s="2">
        <v>43270</v>
      </c>
      <c r="D582" s="3" cm="1">
        <f t="array" ref="D5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2" t="s">
        <v>38</v>
      </c>
      <c r="F582" t="str">
        <f>IF((world_cup_matches9[[#This Row],[StageOrder]]&gt;=7),"High Pressure","Low Pressure")</f>
        <v>Low Pressure</v>
      </c>
      <c r="G582" t="s">
        <v>54</v>
      </c>
      <c r="H582">
        <v>3</v>
      </c>
      <c r="I582">
        <v>1</v>
      </c>
      <c r="J582" t="s">
        <v>51</v>
      </c>
      <c r="K582">
        <f>world_cup_matches9[[#This Row],[Home Goals]]+world_cup_matches9[[#This Row],[Away Goals]]</f>
        <v>4</v>
      </c>
      <c r="L582" t="s">
        <v>132</v>
      </c>
      <c r="M5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2" t="b">
        <v>1</v>
      </c>
    </row>
    <row r="583" spans="1:14" x14ac:dyDescent="0.3">
      <c r="A583">
        <v>854</v>
      </c>
      <c r="B583">
        <v>2018</v>
      </c>
      <c r="C583" s="2">
        <v>43271</v>
      </c>
      <c r="D583" s="3" cm="1">
        <f t="array" ref="D5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3" t="s">
        <v>38</v>
      </c>
      <c r="F583" t="str">
        <f>IF((world_cup_matches9[[#This Row],[StageOrder]]&gt;=7),"High Pressure","Low Pressure")</f>
        <v>Low Pressure</v>
      </c>
      <c r="G583" t="s">
        <v>27</v>
      </c>
      <c r="H583">
        <v>1</v>
      </c>
      <c r="I583">
        <v>0</v>
      </c>
      <c r="J583" t="s">
        <v>21</v>
      </c>
      <c r="K583">
        <f>world_cup_matches9[[#This Row],[Home Goals]]+world_cup_matches9[[#This Row],[Away Goals]]</f>
        <v>1</v>
      </c>
      <c r="L583" t="s">
        <v>132</v>
      </c>
      <c r="M5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3" t="b">
        <v>0</v>
      </c>
    </row>
    <row r="584" spans="1:14" x14ac:dyDescent="0.3">
      <c r="A584">
        <v>855</v>
      </c>
      <c r="B584">
        <v>2018</v>
      </c>
      <c r="C584" s="2">
        <v>43271</v>
      </c>
      <c r="D584" s="3" cm="1">
        <f t="array" ref="D5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4" t="s">
        <v>38</v>
      </c>
      <c r="F584" t="str">
        <f>IF((world_cup_matches9[[#This Row],[StageOrder]]&gt;=7),"High Pressure","Low Pressure")</f>
        <v>Low Pressure</v>
      </c>
      <c r="G584" t="s">
        <v>29</v>
      </c>
      <c r="H584">
        <v>1</v>
      </c>
      <c r="I584">
        <v>0</v>
      </c>
      <c r="J584" t="s">
        <v>8</v>
      </c>
      <c r="K584">
        <f>world_cup_matches9[[#This Row],[Home Goals]]+world_cup_matches9[[#This Row],[Away Goals]]</f>
        <v>1</v>
      </c>
      <c r="L584" t="s">
        <v>132</v>
      </c>
      <c r="M5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4" t="b">
        <v>0</v>
      </c>
    </row>
    <row r="585" spans="1:14" x14ac:dyDescent="0.3">
      <c r="A585">
        <v>856</v>
      </c>
      <c r="B585">
        <v>2018</v>
      </c>
      <c r="C585" s="2">
        <v>43271</v>
      </c>
      <c r="D585" s="3" cm="1">
        <f t="array" ref="D5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5" t="s">
        <v>38</v>
      </c>
      <c r="F585" t="str">
        <f>IF((world_cup_matches9[[#This Row],[StageOrder]]&gt;=7),"High Pressure","Low Pressure")</f>
        <v>Low Pressure</v>
      </c>
      <c r="G585" t="s">
        <v>4</v>
      </c>
      <c r="H585">
        <v>0</v>
      </c>
      <c r="I585">
        <v>1</v>
      </c>
      <c r="J585" t="s">
        <v>15</v>
      </c>
      <c r="K585">
        <f>world_cup_matches9[[#This Row],[Home Goals]]+world_cup_matches9[[#This Row],[Away Goals]]</f>
        <v>1</v>
      </c>
      <c r="L585" t="s">
        <v>132</v>
      </c>
      <c r="M5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5" t="b">
        <v>0</v>
      </c>
    </row>
    <row r="586" spans="1:14" x14ac:dyDescent="0.3">
      <c r="A586">
        <v>857</v>
      </c>
      <c r="B586">
        <v>2018</v>
      </c>
      <c r="C586" s="2">
        <v>43272</v>
      </c>
      <c r="D586" s="3" cm="1">
        <f t="array" ref="D5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6" t="s">
        <v>38</v>
      </c>
      <c r="F586" t="str">
        <f>IF((world_cup_matches9[[#This Row],[StageOrder]]&gt;=7),"High Pressure","Low Pressure")</f>
        <v>Low Pressure</v>
      </c>
      <c r="G586" t="s">
        <v>13</v>
      </c>
      <c r="H586">
        <v>1</v>
      </c>
      <c r="I586">
        <v>1</v>
      </c>
      <c r="J586" t="s">
        <v>12</v>
      </c>
      <c r="K586">
        <f>world_cup_matches9[[#This Row],[Home Goals]]+world_cup_matches9[[#This Row],[Away Goals]]</f>
        <v>2</v>
      </c>
      <c r="L586" t="s">
        <v>132</v>
      </c>
      <c r="M5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6" t="b">
        <v>0</v>
      </c>
    </row>
    <row r="587" spans="1:14" x14ac:dyDescent="0.3">
      <c r="A587">
        <v>858</v>
      </c>
      <c r="B587">
        <v>2018</v>
      </c>
      <c r="C587" s="2">
        <v>43272</v>
      </c>
      <c r="D587" s="3" cm="1">
        <f t="array" ref="D5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7" t="s">
        <v>38</v>
      </c>
      <c r="F587" t="str">
        <f>IF((world_cup_matches9[[#This Row],[StageOrder]]&gt;=7),"High Pressure","Low Pressure")</f>
        <v>Low Pressure</v>
      </c>
      <c r="G587" t="s">
        <v>11</v>
      </c>
      <c r="H587">
        <v>1</v>
      </c>
      <c r="I587">
        <v>0</v>
      </c>
      <c r="J587" t="s">
        <v>72</v>
      </c>
      <c r="K587">
        <f>world_cup_matches9[[#This Row],[Home Goals]]+world_cup_matches9[[#This Row],[Away Goals]]</f>
        <v>1</v>
      </c>
      <c r="L587" t="s">
        <v>132</v>
      </c>
      <c r="M5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7" t="b">
        <v>0</v>
      </c>
    </row>
    <row r="588" spans="1:14" x14ac:dyDescent="0.3">
      <c r="A588">
        <v>859</v>
      </c>
      <c r="B588">
        <v>2018</v>
      </c>
      <c r="C588" s="2">
        <v>43272</v>
      </c>
      <c r="D588" s="3" cm="1">
        <f t="array" ref="D5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8" t="s">
        <v>38</v>
      </c>
      <c r="F588" t="str">
        <f>IF((world_cup_matches9[[#This Row],[StageOrder]]&gt;=7),"High Pressure","Low Pressure")</f>
        <v>Low Pressure</v>
      </c>
      <c r="G588" t="s">
        <v>7</v>
      </c>
      <c r="H588">
        <v>0</v>
      </c>
      <c r="I588">
        <v>3</v>
      </c>
      <c r="J588" t="s">
        <v>22</v>
      </c>
      <c r="K588">
        <f>world_cup_matches9[[#This Row],[Home Goals]]+world_cup_matches9[[#This Row],[Away Goals]]</f>
        <v>3</v>
      </c>
      <c r="L588" t="s">
        <v>132</v>
      </c>
      <c r="M5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8" t="b">
        <v>0</v>
      </c>
    </row>
    <row r="589" spans="1:14" x14ac:dyDescent="0.3">
      <c r="A589">
        <v>860</v>
      </c>
      <c r="B589">
        <v>2018</v>
      </c>
      <c r="C589" s="2">
        <v>43273</v>
      </c>
      <c r="D589" s="3" cm="1">
        <f t="array" ref="D5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89" t="s">
        <v>38</v>
      </c>
      <c r="F589" t="str">
        <f>IF((world_cup_matches9[[#This Row],[StageOrder]]&gt;=7),"High Pressure","Low Pressure")</f>
        <v>Low Pressure</v>
      </c>
      <c r="G589" t="s">
        <v>23</v>
      </c>
      <c r="H589">
        <v>2</v>
      </c>
      <c r="I589">
        <v>0</v>
      </c>
      <c r="J589" t="s">
        <v>16</v>
      </c>
      <c r="K589">
        <f>world_cup_matches9[[#This Row],[Home Goals]]+world_cup_matches9[[#This Row],[Away Goals]]</f>
        <v>2</v>
      </c>
      <c r="L589" t="s">
        <v>132</v>
      </c>
      <c r="M5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89" t="b">
        <v>0</v>
      </c>
    </row>
    <row r="590" spans="1:14" x14ac:dyDescent="0.3">
      <c r="A590">
        <v>861</v>
      </c>
      <c r="B590">
        <v>2018</v>
      </c>
      <c r="C590" s="2">
        <v>43273</v>
      </c>
      <c r="D590" s="3" cm="1">
        <f t="array" ref="D5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0" t="s">
        <v>38</v>
      </c>
      <c r="F590" t="str">
        <f>IF((world_cup_matches9[[#This Row],[StageOrder]]&gt;=7),"High Pressure","Low Pressure")</f>
        <v>Low Pressure</v>
      </c>
      <c r="G590" t="s">
        <v>82</v>
      </c>
      <c r="H590">
        <v>2</v>
      </c>
      <c r="I590">
        <v>0</v>
      </c>
      <c r="J590" t="s">
        <v>80</v>
      </c>
      <c r="K590">
        <f>world_cup_matches9[[#This Row],[Home Goals]]+world_cup_matches9[[#This Row],[Away Goals]]</f>
        <v>2</v>
      </c>
      <c r="L590" t="s">
        <v>132</v>
      </c>
      <c r="M5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0" t="b">
        <v>0</v>
      </c>
    </row>
    <row r="591" spans="1:14" x14ac:dyDescent="0.3">
      <c r="A591">
        <v>862</v>
      </c>
      <c r="B591">
        <v>2018</v>
      </c>
      <c r="C591" s="2">
        <v>43273</v>
      </c>
      <c r="D591" s="3" cm="1">
        <f t="array" ref="D5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1" t="s">
        <v>38</v>
      </c>
      <c r="F591" t="str">
        <f>IF((world_cup_matches9[[#This Row],[StageOrder]]&gt;=7),"High Pressure","Low Pressure")</f>
        <v>Low Pressure</v>
      </c>
      <c r="G591" t="s">
        <v>24</v>
      </c>
      <c r="H591">
        <v>1</v>
      </c>
      <c r="I591">
        <v>2</v>
      </c>
      <c r="J591" t="s">
        <v>25</v>
      </c>
      <c r="K591">
        <f>world_cup_matches9[[#This Row],[Home Goals]]+world_cup_matches9[[#This Row],[Away Goals]]</f>
        <v>3</v>
      </c>
      <c r="L591" t="s">
        <v>132</v>
      </c>
      <c r="M5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1" t="b">
        <v>0</v>
      </c>
    </row>
    <row r="592" spans="1:14" x14ac:dyDescent="0.3">
      <c r="A592">
        <v>863</v>
      </c>
      <c r="B592">
        <v>2018</v>
      </c>
      <c r="C592" s="2">
        <v>43274</v>
      </c>
      <c r="D592" s="3" cm="1">
        <f t="array" ref="D5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2" t="s">
        <v>38</v>
      </c>
      <c r="F592" t="str">
        <f>IF((world_cup_matches9[[#This Row],[StageOrder]]&gt;=7),"High Pressure","Low Pressure")</f>
        <v>Low Pressure</v>
      </c>
      <c r="G592" t="s">
        <v>19</v>
      </c>
      <c r="H592">
        <v>5</v>
      </c>
      <c r="I592">
        <v>2</v>
      </c>
      <c r="J592" t="s">
        <v>14</v>
      </c>
      <c r="K592">
        <f>world_cup_matches9[[#This Row],[Home Goals]]+world_cup_matches9[[#This Row],[Away Goals]]</f>
        <v>7</v>
      </c>
      <c r="L592" t="s">
        <v>132</v>
      </c>
      <c r="M5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2" t="b">
        <v>0</v>
      </c>
    </row>
    <row r="593" spans="1:14" x14ac:dyDescent="0.3">
      <c r="A593">
        <v>864</v>
      </c>
      <c r="B593">
        <v>2018</v>
      </c>
      <c r="C593" s="2">
        <v>43274</v>
      </c>
      <c r="D593" s="3" cm="1">
        <f t="array" ref="D5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3" t="s">
        <v>38</v>
      </c>
      <c r="F593" t="str">
        <f>IF((world_cup_matches9[[#This Row],[StageOrder]]&gt;=7),"High Pressure","Low Pressure")</f>
        <v>Low Pressure</v>
      </c>
      <c r="G593" t="s">
        <v>30</v>
      </c>
      <c r="H593">
        <v>1</v>
      </c>
      <c r="I593">
        <v>2</v>
      </c>
      <c r="J593" t="s">
        <v>9</v>
      </c>
      <c r="K593">
        <f>world_cup_matches9[[#This Row],[Home Goals]]+world_cup_matches9[[#This Row],[Away Goals]]</f>
        <v>3</v>
      </c>
      <c r="L593" t="s">
        <v>132</v>
      </c>
      <c r="M5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3" t="b">
        <v>0</v>
      </c>
    </row>
    <row r="594" spans="1:14" x14ac:dyDescent="0.3">
      <c r="A594">
        <v>865</v>
      </c>
      <c r="B594">
        <v>2018</v>
      </c>
      <c r="C594" s="2">
        <v>43274</v>
      </c>
      <c r="D594" s="3" cm="1">
        <f t="array" ref="D5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4" t="s">
        <v>38</v>
      </c>
      <c r="F594" t="str">
        <f>IF((world_cup_matches9[[#This Row],[StageOrder]]&gt;=7),"High Pressure","Low Pressure")</f>
        <v>Low Pressure</v>
      </c>
      <c r="G594" t="s">
        <v>17</v>
      </c>
      <c r="H594">
        <v>2</v>
      </c>
      <c r="I594">
        <v>1</v>
      </c>
      <c r="J594" t="s">
        <v>62</v>
      </c>
      <c r="K594">
        <f>world_cup_matches9[[#This Row],[Home Goals]]+world_cup_matches9[[#This Row],[Away Goals]]</f>
        <v>3</v>
      </c>
      <c r="L594" t="s">
        <v>132</v>
      </c>
      <c r="M5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4" t="b">
        <v>0</v>
      </c>
    </row>
    <row r="595" spans="1:14" x14ac:dyDescent="0.3">
      <c r="A595">
        <v>866</v>
      </c>
      <c r="B595">
        <v>2018</v>
      </c>
      <c r="C595" s="2">
        <v>43275</v>
      </c>
      <c r="D595" s="3" cm="1">
        <f t="array" ref="D5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5" t="s">
        <v>38</v>
      </c>
      <c r="F595" t="str">
        <f>IF((world_cup_matches9[[#This Row],[StageOrder]]&gt;=7),"High Pressure","Low Pressure")</f>
        <v>Low Pressure</v>
      </c>
      <c r="G595" t="s">
        <v>3</v>
      </c>
      <c r="H595">
        <v>6</v>
      </c>
      <c r="I595">
        <v>1</v>
      </c>
      <c r="J595" t="s">
        <v>78</v>
      </c>
      <c r="K595">
        <f>world_cup_matches9[[#This Row],[Home Goals]]+world_cup_matches9[[#This Row],[Away Goals]]</f>
        <v>7</v>
      </c>
      <c r="L595" t="s">
        <v>132</v>
      </c>
      <c r="M5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5" t="b">
        <v>0</v>
      </c>
    </row>
    <row r="596" spans="1:14" x14ac:dyDescent="0.3">
      <c r="A596">
        <v>867</v>
      </c>
      <c r="B596">
        <v>2018</v>
      </c>
      <c r="C596" s="2">
        <v>43275</v>
      </c>
      <c r="D596" s="3" cm="1">
        <f t="array" ref="D5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6" t="s">
        <v>38</v>
      </c>
      <c r="F596" t="str">
        <f>IF((world_cup_matches9[[#This Row],[StageOrder]]&gt;=7),"High Pressure","Low Pressure")</f>
        <v>Low Pressure</v>
      </c>
      <c r="G596" t="s">
        <v>18</v>
      </c>
      <c r="H596">
        <v>2</v>
      </c>
      <c r="I596">
        <v>2</v>
      </c>
      <c r="J596" t="s">
        <v>1</v>
      </c>
      <c r="K596">
        <f>world_cup_matches9[[#This Row],[Home Goals]]+world_cup_matches9[[#This Row],[Away Goals]]</f>
        <v>4</v>
      </c>
      <c r="L596" t="s">
        <v>132</v>
      </c>
      <c r="M5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6" t="b">
        <v>0</v>
      </c>
    </row>
    <row r="597" spans="1:14" x14ac:dyDescent="0.3">
      <c r="A597">
        <v>868</v>
      </c>
      <c r="B597">
        <v>2018</v>
      </c>
      <c r="C597" s="2">
        <v>43275</v>
      </c>
      <c r="D597" s="3" cm="1">
        <f t="array" ref="D5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7" t="s">
        <v>38</v>
      </c>
      <c r="F597" t="str">
        <f>IF((world_cup_matches9[[#This Row],[StageOrder]]&gt;=7),"High Pressure","Low Pressure")</f>
        <v>Low Pressure</v>
      </c>
      <c r="G597" t="s">
        <v>10</v>
      </c>
      <c r="H597">
        <v>0</v>
      </c>
      <c r="I597">
        <v>3</v>
      </c>
      <c r="J597" t="s">
        <v>53</v>
      </c>
      <c r="K597">
        <f>world_cup_matches9[[#This Row],[Home Goals]]+world_cup_matches9[[#This Row],[Away Goals]]</f>
        <v>3</v>
      </c>
      <c r="L597" t="s">
        <v>132</v>
      </c>
      <c r="M5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7" t="b">
        <v>0</v>
      </c>
    </row>
    <row r="598" spans="1:14" x14ac:dyDescent="0.3">
      <c r="A598">
        <v>869</v>
      </c>
      <c r="B598">
        <v>2018</v>
      </c>
      <c r="C598" s="2">
        <v>43276</v>
      </c>
      <c r="D598" s="3" cm="1">
        <f t="array" ref="D5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8" t="s">
        <v>38</v>
      </c>
      <c r="F598" t="str">
        <f>IF((world_cup_matches9[[#This Row],[StageOrder]]&gt;=7),"High Pressure","Low Pressure")</f>
        <v>Low Pressure</v>
      </c>
      <c r="G598" t="s">
        <v>54</v>
      </c>
      <c r="H598">
        <v>0</v>
      </c>
      <c r="I598">
        <v>3</v>
      </c>
      <c r="J598" t="s">
        <v>29</v>
      </c>
      <c r="K598">
        <f>world_cup_matches9[[#This Row],[Home Goals]]+world_cup_matches9[[#This Row],[Away Goals]]</f>
        <v>3</v>
      </c>
      <c r="L598" t="s">
        <v>132</v>
      </c>
      <c r="M5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8" t="b">
        <v>1</v>
      </c>
    </row>
    <row r="599" spans="1:14" x14ac:dyDescent="0.3">
      <c r="A599">
        <v>870</v>
      </c>
      <c r="B599">
        <v>2018</v>
      </c>
      <c r="C599" s="2">
        <v>43276</v>
      </c>
      <c r="D599" s="3" cm="1">
        <f t="array" ref="D5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599" t="s">
        <v>38</v>
      </c>
      <c r="F599" t="str">
        <f>IF((world_cup_matches9[[#This Row],[StageOrder]]&gt;=7),"High Pressure","Low Pressure")</f>
        <v>Low Pressure</v>
      </c>
      <c r="G599" t="s">
        <v>8</v>
      </c>
      <c r="H599">
        <v>2</v>
      </c>
      <c r="I599">
        <v>1</v>
      </c>
      <c r="J599" t="s">
        <v>51</v>
      </c>
      <c r="K599">
        <f>world_cup_matches9[[#This Row],[Home Goals]]+world_cup_matches9[[#This Row],[Away Goals]]</f>
        <v>3</v>
      </c>
      <c r="L599" t="s">
        <v>132</v>
      </c>
      <c r="M5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599" t="b">
        <v>0</v>
      </c>
    </row>
    <row r="600" spans="1:14" x14ac:dyDescent="0.3">
      <c r="A600">
        <v>871</v>
      </c>
      <c r="B600">
        <v>2018</v>
      </c>
      <c r="C600" s="2">
        <v>43276</v>
      </c>
      <c r="D600" s="3" cm="1">
        <f t="array" ref="D6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0" t="s">
        <v>38</v>
      </c>
      <c r="F600" t="str">
        <f>IF((world_cup_matches9[[#This Row],[StageOrder]]&gt;=7),"High Pressure","Low Pressure")</f>
        <v>Low Pressure</v>
      </c>
      <c r="G600" t="s">
        <v>15</v>
      </c>
      <c r="H600">
        <v>2</v>
      </c>
      <c r="I600">
        <v>2</v>
      </c>
      <c r="J600" t="s">
        <v>21</v>
      </c>
      <c r="K600">
        <f>world_cup_matches9[[#This Row],[Home Goals]]+world_cup_matches9[[#This Row],[Away Goals]]</f>
        <v>4</v>
      </c>
      <c r="L600" t="s">
        <v>132</v>
      </c>
      <c r="M6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0" t="b">
        <v>0</v>
      </c>
    </row>
    <row r="601" spans="1:14" x14ac:dyDescent="0.3">
      <c r="A601">
        <v>872</v>
      </c>
      <c r="B601">
        <v>2018</v>
      </c>
      <c r="C601" s="2">
        <v>43276</v>
      </c>
      <c r="D601" s="3" cm="1">
        <f t="array" ref="D6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1" t="s">
        <v>38</v>
      </c>
      <c r="F601" t="str">
        <f>IF((world_cup_matches9[[#This Row],[StageOrder]]&gt;=7),"High Pressure","Low Pressure")</f>
        <v>Low Pressure</v>
      </c>
      <c r="G601" t="s">
        <v>4</v>
      </c>
      <c r="H601">
        <v>1</v>
      </c>
      <c r="I601">
        <v>1</v>
      </c>
      <c r="J601" t="s">
        <v>27</v>
      </c>
      <c r="K601">
        <f>world_cup_matches9[[#This Row],[Home Goals]]+world_cup_matches9[[#This Row],[Away Goals]]</f>
        <v>2</v>
      </c>
      <c r="L601" t="s">
        <v>132</v>
      </c>
      <c r="M6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1" t="b">
        <v>0</v>
      </c>
    </row>
    <row r="602" spans="1:14" x14ac:dyDescent="0.3">
      <c r="A602">
        <v>873</v>
      </c>
      <c r="B602">
        <v>2018</v>
      </c>
      <c r="C602" s="2">
        <v>43277</v>
      </c>
      <c r="D602" s="3" cm="1">
        <f t="array" ref="D6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2" t="s">
        <v>38</v>
      </c>
      <c r="F602" t="str">
        <f>IF((world_cup_matches9[[#This Row],[StageOrder]]&gt;=7),"High Pressure","Low Pressure")</f>
        <v>Low Pressure</v>
      </c>
      <c r="G602" t="s">
        <v>12</v>
      </c>
      <c r="H602">
        <v>0</v>
      </c>
      <c r="I602">
        <v>2</v>
      </c>
      <c r="J602" t="s">
        <v>72</v>
      </c>
      <c r="K602">
        <f>world_cup_matches9[[#This Row],[Home Goals]]+world_cup_matches9[[#This Row],[Away Goals]]</f>
        <v>2</v>
      </c>
      <c r="L602" t="s">
        <v>132</v>
      </c>
      <c r="M6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2" t="b">
        <v>0</v>
      </c>
    </row>
    <row r="603" spans="1:14" x14ac:dyDescent="0.3">
      <c r="A603">
        <v>874</v>
      </c>
      <c r="B603">
        <v>2018</v>
      </c>
      <c r="C603" s="2">
        <v>43277</v>
      </c>
      <c r="D603" s="3" cm="1">
        <f t="array" ref="D6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3" t="s">
        <v>38</v>
      </c>
      <c r="F603" t="str">
        <f>IF((world_cup_matches9[[#This Row],[StageOrder]]&gt;=7),"High Pressure","Low Pressure")</f>
        <v>Low Pressure</v>
      </c>
      <c r="G603" t="s">
        <v>13</v>
      </c>
      <c r="H603">
        <v>0</v>
      </c>
      <c r="I603">
        <v>0</v>
      </c>
      <c r="J603" t="s">
        <v>11</v>
      </c>
      <c r="K603">
        <f>world_cup_matches9[[#This Row],[Home Goals]]+world_cup_matches9[[#This Row],[Away Goals]]</f>
        <v>0</v>
      </c>
      <c r="L603" t="s">
        <v>132</v>
      </c>
      <c r="M6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3" t="b">
        <v>0</v>
      </c>
    </row>
    <row r="604" spans="1:14" x14ac:dyDescent="0.3">
      <c r="A604">
        <v>875</v>
      </c>
      <c r="B604">
        <v>2018</v>
      </c>
      <c r="C604" s="2">
        <v>43277</v>
      </c>
      <c r="D604" s="3" cm="1">
        <f t="array" ref="D6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4" t="s">
        <v>38</v>
      </c>
      <c r="F604" t="str">
        <f>IF((world_cup_matches9[[#This Row],[StageOrder]]&gt;=7),"High Pressure","Low Pressure")</f>
        <v>Low Pressure</v>
      </c>
      <c r="G604" t="s">
        <v>82</v>
      </c>
      <c r="H604">
        <v>1</v>
      </c>
      <c r="I604">
        <v>2</v>
      </c>
      <c r="J604" t="s">
        <v>7</v>
      </c>
      <c r="K604">
        <f>world_cup_matches9[[#This Row],[Home Goals]]+world_cup_matches9[[#This Row],[Away Goals]]</f>
        <v>3</v>
      </c>
      <c r="L604" t="s">
        <v>132</v>
      </c>
      <c r="M6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4" t="b">
        <v>0</v>
      </c>
    </row>
    <row r="605" spans="1:14" x14ac:dyDescent="0.3">
      <c r="A605">
        <v>876</v>
      </c>
      <c r="B605">
        <v>2018</v>
      </c>
      <c r="C605" s="2">
        <v>43277</v>
      </c>
      <c r="D605" s="3" cm="1">
        <f t="array" ref="D6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5" t="s">
        <v>38</v>
      </c>
      <c r="F605" t="str">
        <f>IF((world_cup_matches9[[#This Row],[StageOrder]]&gt;=7),"High Pressure","Low Pressure")</f>
        <v>Low Pressure</v>
      </c>
      <c r="G605" t="s">
        <v>80</v>
      </c>
      <c r="H605">
        <v>1</v>
      </c>
      <c r="I605">
        <v>2</v>
      </c>
      <c r="J605" t="s">
        <v>22</v>
      </c>
      <c r="K605">
        <f>world_cup_matches9[[#This Row],[Home Goals]]+world_cup_matches9[[#This Row],[Away Goals]]</f>
        <v>3</v>
      </c>
      <c r="L605" t="s">
        <v>132</v>
      </c>
      <c r="M6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5" t="b">
        <v>0</v>
      </c>
    </row>
    <row r="606" spans="1:14" x14ac:dyDescent="0.3">
      <c r="A606">
        <v>877</v>
      </c>
      <c r="B606">
        <v>2018</v>
      </c>
      <c r="C606" s="2">
        <v>43278</v>
      </c>
      <c r="D606" s="3" cm="1">
        <f t="array" ref="D6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6" t="s">
        <v>38</v>
      </c>
      <c r="F606" t="str">
        <f>IF((world_cup_matches9[[#This Row],[StageOrder]]&gt;=7),"High Pressure","Low Pressure")</f>
        <v>Low Pressure</v>
      </c>
      <c r="G606" t="s">
        <v>30</v>
      </c>
      <c r="H606">
        <v>2</v>
      </c>
      <c r="I606">
        <v>0</v>
      </c>
      <c r="J606" t="s">
        <v>17</v>
      </c>
      <c r="K606">
        <f>world_cup_matches9[[#This Row],[Home Goals]]+world_cup_matches9[[#This Row],[Away Goals]]</f>
        <v>2</v>
      </c>
      <c r="L606" t="s">
        <v>132</v>
      </c>
      <c r="M6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6" t="b">
        <v>0</v>
      </c>
    </row>
    <row r="607" spans="1:14" x14ac:dyDescent="0.3">
      <c r="A607">
        <v>878</v>
      </c>
      <c r="B607">
        <v>2018</v>
      </c>
      <c r="C607" s="2">
        <v>43278</v>
      </c>
      <c r="D607" s="3" cm="1">
        <f t="array" ref="D6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7" t="s">
        <v>38</v>
      </c>
      <c r="F607" t="str">
        <f>IF((world_cup_matches9[[#This Row],[StageOrder]]&gt;=7),"High Pressure","Low Pressure")</f>
        <v>Low Pressure</v>
      </c>
      <c r="G607" t="s">
        <v>9</v>
      </c>
      <c r="H607">
        <v>0</v>
      </c>
      <c r="I607">
        <v>3</v>
      </c>
      <c r="J607" t="s">
        <v>62</v>
      </c>
      <c r="K607">
        <f>world_cup_matches9[[#This Row],[Home Goals]]+world_cup_matches9[[#This Row],[Away Goals]]</f>
        <v>3</v>
      </c>
      <c r="L607" t="s">
        <v>132</v>
      </c>
      <c r="M6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7" t="b">
        <v>0</v>
      </c>
    </row>
    <row r="608" spans="1:14" x14ac:dyDescent="0.3">
      <c r="A608">
        <v>879</v>
      </c>
      <c r="B608">
        <v>2018</v>
      </c>
      <c r="C608" s="2">
        <v>43278</v>
      </c>
      <c r="D608" s="3" cm="1">
        <f t="array" ref="D6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8" t="s">
        <v>38</v>
      </c>
      <c r="F608" t="str">
        <f>IF((world_cup_matches9[[#This Row],[StageOrder]]&gt;=7),"High Pressure","Low Pressure")</f>
        <v>Low Pressure</v>
      </c>
      <c r="G608" t="s">
        <v>24</v>
      </c>
      <c r="H608">
        <v>0</v>
      </c>
      <c r="I608">
        <v>2</v>
      </c>
      <c r="J608" t="s">
        <v>23</v>
      </c>
      <c r="K608">
        <f>world_cup_matches9[[#This Row],[Home Goals]]+world_cup_matches9[[#This Row],[Away Goals]]</f>
        <v>2</v>
      </c>
      <c r="L608" t="s">
        <v>132</v>
      </c>
      <c r="M6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8" t="b">
        <v>0</v>
      </c>
    </row>
    <row r="609" spans="1:14" x14ac:dyDescent="0.3">
      <c r="A609">
        <v>880</v>
      </c>
      <c r="B609">
        <v>2018</v>
      </c>
      <c r="C609" s="2">
        <v>43278</v>
      </c>
      <c r="D609" s="3" cm="1">
        <f t="array" ref="D6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09" t="s">
        <v>38</v>
      </c>
      <c r="F609" t="str">
        <f>IF((world_cup_matches9[[#This Row],[StageOrder]]&gt;=7),"High Pressure","Low Pressure")</f>
        <v>Low Pressure</v>
      </c>
      <c r="G609" t="s">
        <v>25</v>
      </c>
      <c r="H609">
        <v>2</v>
      </c>
      <c r="I609">
        <v>2</v>
      </c>
      <c r="J609" t="s">
        <v>16</v>
      </c>
      <c r="K609">
        <f>world_cup_matches9[[#This Row],[Home Goals]]+world_cup_matches9[[#This Row],[Away Goals]]</f>
        <v>4</v>
      </c>
      <c r="L609" t="s">
        <v>132</v>
      </c>
      <c r="M6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09" t="b">
        <v>0</v>
      </c>
    </row>
    <row r="610" spans="1:14" x14ac:dyDescent="0.3">
      <c r="A610">
        <v>881</v>
      </c>
      <c r="B610">
        <v>2018</v>
      </c>
      <c r="C610" s="2">
        <v>43279</v>
      </c>
      <c r="D610" s="3" cm="1">
        <f t="array" ref="D6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10" t="s">
        <v>38</v>
      </c>
      <c r="F610" t="str">
        <f>IF((world_cup_matches9[[#This Row],[StageOrder]]&gt;=7),"High Pressure","Low Pressure")</f>
        <v>Low Pressure</v>
      </c>
      <c r="G610" t="s">
        <v>18</v>
      </c>
      <c r="H610">
        <v>0</v>
      </c>
      <c r="I610">
        <v>1</v>
      </c>
      <c r="J610" t="s">
        <v>10</v>
      </c>
      <c r="K610">
        <f>world_cup_matches9[[#This Row],[Home Goals]]+world_cup_matches9[[#This Row],[Away Goals]]</f>
        <v>1</v>
      </c>
      <c r="L610" t="s">
        <v>132</v>
      </c>
      <c r="M6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0" t="b">
        <v>0</v>
      </c>
    </row>
    <row r="611" spans="1:14" x14ac:dyDescent="0.3">
      <c r="A611">
        <v>882</v>
      </c>
      <c r="B611">
        <v>2018</v>
      </c>
      <c r="C611" s="2">
        <v>43279</v>
      </c>
      <c r="D611" s="3" cm="1">
        <f t="array" ref="D6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11" t="s">
        <v>38</v>
      </c>
      <c r="F611" t="str">
        <f>IF((world_cup_matches9[[#This Row],[StageOrder]]&gt;=7),"High Pressure","Low Pressure")</f>
        <v>Low Pressure</v>
      </c>
      <c r="G611" t="s">
        <v>1</v>
      </c>
      <c r="H611">
        <v>0</v>
      </c>
      <c r="I611">
        <v>1</v>
      </c>
      <c r="J611" t="s">
        <v>53</v>
      </c>
      <c r="K611">
        <f>world_cup_matches9[[#This Row],[Home Goals]]+world_cup_matches9[[#This Row],[Away Goals]]</f>
        <v>1</v>
      </c>
      <c r="L611" t="s">
        <v>132</v>
      </c>
      <c r="M6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1" t="b">
        <v>0</v>
      </c>
    </row>
    <row r="612" spans="1:14" x14ac:dyDescent="0.3">
      <c r="A612">
        <v>883</v>
      </c>
      <c r="B612">
        <v>2018</v>
      </c>
      <c r="C612" s="2">
        <v>43279</v>
      </c>
      <c r="D612" s="3" cm="1">
        <f t="array" ref="D6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12" t="s">
        <v>38</v>
      </c>
      <c r="F612" t="str">
        <f>IF((world_cup_matches9[[#This Row],[StageOrder]]&gt;=7),"High Pressure","Low Pressure")</f>
        <v>Low Pressure</v>
      </c>
      <c r="G612" t="s">
        <v>78</v>
      </c>
      <c r="H612">
        <v>1</v>
      </c>
      <c r="I612">
        <v>2</v>
      </c>
      <c r="J612" t="s">
        <v>14</v>
      </c>
      <c r="K612">
        <f>world_cup_matches9[[#This Row],[Home Goals]]+world_cup_matches9[[#This Row],[Away Goals]]</f>
        <v>3</v>
      </c>
      <c r="L612" t="s">
        <v>132</v>
      </c>
      <c r="M6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2" t="b">
        <v>0</v>
      </c>
    </row>
    <row r="613" spans="1:14" x14ac:dyDescent="0.3">
      <c r="A613">
        <v>884</v>
      </c>
      <c r="B613">
        <v>2018</v>
      </c>
      <c r="C613" s="2">
        <v>43279</v>
      </c>
      <c r="D613" s="3" cm="1">
        <f t="array" ref="D6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2</v>
      </c>
      <c r="E613" t="s">
        <v>38</v>
      </c>
      <c r="F613" t="str">
        <f>IF((world_cup_matches9[[#This Row],[StageOrder]]&gt;=7),"High Pressure","Low Pressure")</f>
        <v>Low Pressure</v>
      </c>
      <c r="G613" t="s">
        <v>3</v>
      </c>
      <c r="H613">
        <v>0</v>
      </c>
      <c r="I613">
        <v>1</v>
      </c>
      <c r="J613" t="s">
        <v>19</v>
      </c>
      <c r="K613">
        <f>world_cup_matches9[[#This Row],[Home Goals]]+world_cup_matches9[[#This Row],[Away Goals]]</f>
        <v>1</v>
      </c>
      <c r="L613" t="s">
        <v>132</v>
      </c>
      <c r="M6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3" t="b">
        <v>0</v>
      </c>
    </row>
    <row r="614" spans="1:14" x14ac:dyDescent="0.3">
      <c r="A614">
        <v>257</v>
      </c>
      <c r="B614">
        <v>1974</v>
      </c>
      <c r="C614" s="2">
        <v>27206</v>
      </c>
      <c r="D614" s="3" cm="1">
        <f t="array" ref="D6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14" t="s">
        <v>102</v>
      </c>
      <c r="F614" t="str">
        <f>IF((world_cup_matches9[[#This Row],[StageOrder]]&gt;=7),"High Pressure","Low Pressure")</f>
        <v>Low Pressure</v>
      </c>
      <c r="G614" t="s">
        <v>17</v>
      </c>
      <c r="H614">
        <v>2</v>
      </c>
      <c r="I614">
        <v>0</v>
      </c>
      <c r="J614" t="s">
        <v>69</v>
      </c>
      <c r="K614">
        <f>world_cup_matches9[[#This Row],[Home Goals]]+world_cup_matches9[[#This Row],[Away Goals]]</f>
        <v>2</v>
      </c>
      <c r="L614" t="s">
        <v>132</v>
      </c>
      <c r="M6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4" t="b">
        <v>1</v>
      </c>
    </row>
    <row r="615" spans="1:14" x14ac:dyDescent="0.3">
      <c r="A615">
        <v>258</v>
      </c>
      <c r="B615">
        <v>1974</v>
      </c>
      <c r="C615" s="2">
        <v>27206</v>
      </c>
      <c r="D615" s="3" cm="1">
        <f t="array" ref="D6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15" t="s">
        <v>102</v>
      </c>
      <c r="F615" t="str">
        <f>IF((world_cup_matches9[[#This Row],[StageOrder]]&gt;=7),"High Pressure","Low Pressure")</f>
        <v>Low Pressure</v>
      </c>
      <c r="G615" t="s">
        <v>23</v>
      </c>
      <c r="H615">
        <v>1</v>
      </c>
      <c r="I615">
        <v>0</v>
      </c>
      <c r="J615" t="s">
        <v>101</v>
      </c>
      <c r="K615">
        <f>world_cup_matches9[[#This Row],[Home Goals]]+world_cup_matches9[[#This Row],[Away Goals]]</f>
        <v>1</v>
      </c>
      <c r="L615" t="s">
        <v>132</v>
      </c>
      <c r="M6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5" t="b">
        <v>0</v>
      </c>
    </row>
    <row r="616" spans="1:14" x14ac:dyDescent="0.3">
      <c r="A616">
        <v>259</v>
      </c>
      <c r="B616">
        <v>1974</v>
      </c>
      <c r="C616" s="2">
        <v>27206</v>
      </c>
      <c r="D616" s="3" cm="1">
        <f t="array" ref="D6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16" t="s">
        <v>102</v>
      </c>
      <c r="F616" t="str">
        <f>IF((world_cup_matches9[[#This Row],[StageOrder]]&gt;=7),"High Pressure","Low Pressure")</f>
        <v>Low Pressure</v>
      </c>
      <c r="G616" t="s">
        <v>2</v>
      </c>
      <c r="H616">
        <v>4</v>
      </c>
      <c r="I616">
        <v>0</v>
      </c>
      <c r="J616" t="s">
        <v>7</v>
      </c>
      <c r="K616">
        <f>world_cup_matches9[[#This Row],[Home Goals]]+world_cup_matches9[[#This Row],[Away Goals]]</f>
        <v>4</v>
      </c>
      <c r="L616" t="s">
        <v>132</v>
      </c>
      <c r="M6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6" t="b">
        <v>0</v>
      </c>
    </row>
    <row r="617" spans="1:14" x14ac:dyDescent="0.3">
      <c r="A617">
        <v>260</v>
      </c>
      <c r="B617">
        <v>1974</v>
      </c>
      <c r="C617" s="2">
        <v>27206</v>
      </c>
      <c r="D617" s="3" cm="1">
        <f t="array" ref="D6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17" t="s">
        <v>102</v>
      </c>
      <c r="F617" t="str">
        <f>IF((world_cup_matches9[[#This Row],[StageOrder]]&gt;=7),"High Pressure","Low Pressure")</f>
        <v>Low Pressure</v>
      </c>
      <c r="G617" t="s">
        <v>62</v>
      </c>
      <c r="H617">
        <v>0</v>
      </c>
      <c r="I617">
        <v>1</v>
      </c>
      <c r="J617" t="s">
        <v>10</v>
      </c>
      <c r="K617">
        <f>world_cup_matches9[[#This Row],[Home Goals]]+world_cup_matches9[[#This Row],[Away Goals]]</f>
        <v>1</v>
      </c>
      <c r="L617" t="s">
        <v>132</v>
      </c>
      <c r="M6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7" t="b">
        <v>0</v>
      </c>
    </row>
    <row r="618" spans="1:14" x14ac:dyDescent="0.3">
      <c r="A618">
        <v>261</v>
      </c>
      <c r="B618">
        <v>1974</v>
      </c>
      <c r="C618" s="2">
        <v>27210</v>
      </c>
      <c r="D618" s="3" cm="1">
        <f t="array" ref="D6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18" t="s">
        <v>102</v>
      </c>
      <c r="F618" t="str">
        <f>IF((world_cup_matches9[[#This Row],[StageOrder]]&gt;=7),"High Pressure","Low Pressure")</f>
        <v>Low Pressure</v>
      </c>
      <c r="G618" t="s">
        <v>7</v>
      </c>
      <c r="H618">
        <v>1</v>
      </c>
      <c r="I618">
        <v>2</v>
      </c>
      <c r="J618" t="s">
        <v>23</v>
      </c>
      <c r="K618">
        <f>world_cup_matches9[[#This Row],[Home Goals]]+world_cup_matches9[[#This Row],[Away Goals]]</f>
        <v>3</v>
      </c>
      <c r="L618" t="s">
        <v>132</v>
      </c>
      <c r="M6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8" t="b">
        <v>0</v>
      </c>
    </row>
    <row r="619" spans="1:14" x14ac:dyDescent="0.3">
      <c r="A619">
        <v>262</v>
      </c>
      <c r="B619">
        <v>1974</v>
      </c>
      <c r="C619" s="2">
        <v>27210</v>
      </c>
      <c r="D619" s="3" cm="1">
        <f t="array" ref="D6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19" t="s">
        <v>102</v>
      </c>
      <c r="F619" t="str">
        <f>IF((world_cup_matches9[[#This Row],[StageOrder]]&gt;=7),"High Pressure","Low Pressure")</f>
        <v>Low Pressure</v>
      </c>
      <c r="G619" t="s">
        <v>10</v>
      </c>
      <c r="H619">
        <v>2</v>
      </c>
      <c r="I619">
        <v>1</v>
      </c>
      <c r="J619" t="s">
        <v>69</v>
      </c>
      <c r="K619">
        <f>world_cup_matches9[[#This Row],[Home Goals]]+world_cup_matches9[[#This Row],[Away Goals]]</f>
        <v>3</v>
      </c>
      <c r="L619" t="s">
        <v>132</v>
      </c>
      <c r="M6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19" t="b">
        <v>0</v>
      </c>
    </row>
    <row r="620" spans="1:14" x14ac:dyDescent="0.3">
      <c r="A620">
        <v>263</v>
      </c>
      <c r="B620">
        <v>1974</v>
      </c>
      <c r="C620" s="2">
        <v>27210</v>
      </c>
      <c r="D620" s="3" cm="1">
        <f t="array" ref="D6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0" t="s">
        <v>102</v>
      </c>
      <c r="F620" t="str">
        <f>IF((world_cup_matches9[[#This Row],[StageOrder]]&gt;=7),"High Pressure","Low Pressure")</f>
        <v>Low Pressure</v>
      </c>
      <c r="G620" t="s">
        <v>101</v>
      </c>
      <c r="H620">
        <v>0</v>
      </c>
      <c r="I620">
        <v>2</v>
      </c>
      <c r="J620" t="s">
        <v>2</v>
      </c>
      <c r="K620">
        <f>world_cup_matches9[[#This Row],[Home Goals]]+world_cup_matches9[[#This Row],[Away Goals]]</f>
        <v>2</v>
      </c>
      <c r="L620" t="s">
        <v>132</v>
      </c>
      <c r="M6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0" t="b">
        <v>0</v>
      </c>
    </row>
    <row r="621" spans="1:14" x14ac:dyDescent="0.3">
      <c r="A621">
        <v>264</v>
      </c>
      <c r="B621">
        <v>1974</v>
      </c>
      <c r="C621" s="2">
        <v>27210</v>
      </c>
      <c r="D621" s="3" cm="1">
        <f t="array" ref="D6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1" t="s">
        <v>102</v>
      </c>
      <c r="F621" t="str">
        <f>IF((world_cup_matches9[[#This Row],[StageOrder]]&gt;=7),"High Pressure","Low Pressure")</f>
        <v>Low Pressure</v>
      </c>
      <c r="G621" t="s">
        <v>17</v>
      </c>
      <c r="H621">
        <v>4</v>
      </c>
      <c r="I621">
        <v>2</v>
      </c>
      <c r="J621" t="s">
        <v>62</v>
      </c>
      <c r="K621">
        <f>world_cup_matches9[[#This Row],[Home Goals]]+world_cup_matches9[[#This Row],[Away Goals]]</f>
        <v>6</v>
      </c>
      <c r="L621" t="s">
        <v>132</v>
      </c>
      <c r="M6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1" t="b">
        <v>1</v>
      </c>
    </row>
    <row r="622" spans="1:14" x14ac:dyDescent="0.3">
      <c r="A622">
        <v>265</v>
      </c>
      <c r="B622">
        <v>1974</v>
      </c>
      <c r="C622" s="2">
        <v>27213</v>
      </c>
      <c r="D622" s="3" cm="1">
        <f t="array" ref="D6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2" t="s">
        <v>102</v>
      </c>
      <c r="F622" t="str">
        <f>IF((world_cup_matches9[[#This Row],[StageOrder]]&gt;=7),"High Pressure","Low Pressure")</f>
        <v>Low Pressure</v>
      </c>
      <c r="G622" t="s">
        <v>17</v>
      </c>
      <c r="H622">
        <v>1</v>
      </c>
      <c r="I622">
        <v>0</v>
      </c>
      <c r="J622" t="s">
        <v>10</v>
      </c>
      <c r="K622">
        <f>world_cup_matches9[[#This Row],[Home Goals]]+world_cup_matches9[[#This Row],[Away Goals]]</f>
        <v>1</v>
      </c>
      <c r="L622" t="s">
        <v>132</v>
      </c>
      <c r="M6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2" t="b">
        <v>1</v>
      </c>
    </row>
    <row r="623" spans="1:14" x14ac:dyDescent="0.3">
      <c r="A623">
        <v>266</v>
      </c>
      <c r="B623">
        <v>1974</v>
      </c>
      <c r="C623" s="2">
        <v>27213</v>
      </c>
      <c r="D623" s="3" cm="1">
        <f t="array" ref="D6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3" t="s">
        <v>102</v>
      </c>
      <c r="F623" t="str">
        <f>IF((world_cup_matches9[[#This Row],[StageOrder]]&gt;=7),"High Pressure","Low Pressure")</f>
        <v>Low Pressure</v>
      </c>
      <c r="G623" t="s">
        <v>2</v>
      </c>
      <c r="H623">
        <v>2</v>
      </c>
      <c r="I623">
        <v>0</v>
      </c>
      <c r="J623" t="s">
        <v>23</v>
      </c>
      <c r="K623">
        <f>world_cup_matches9[[#This Row],[Home Goals]]+world_cup_matches9[[#This Row],[Away Goals]]</f>
        <v>2</v>
      </c>
      <c r="L623" t="s">
        <v>132</v>
      </c>
      <c r="M6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3" t="b">
        <v>0</v>
      </c>
    </row>
    <row r="624" spans="1:14" x14ac:dyDescent="0.3">
      <c r="A624">
        <v>267</v>
      </c>
      <c r="B624">
        <v>1974</v>
      </c>
      <c r="C624" s="2">
        <v>27213</v>
      </c>
      <c r="D624" s="3" cm="1">
        <f t="array" ref="D6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4" t="s">
        <v>102</v>
      </c>
      <c r="F624" t="str">
        <f>IF((world_cup_matches9[[#This Row],[StageOrder]]&gt;=7),"High Pressure","Low Pressure")</f>
        <v>Low Pressure</v>
      </c>
      <c r="G624" t="s">
        <v>7</v>
      </c>
      <c r="H624">
        <v>1</v>
      </c>
      <c r="I624">
        <v>1</v>
      </c>
      <c r="J624" t="s">
        <v>101</v>
      </c>
      <c r="K624">
        <f>world_cup_matches9[[#This Row],[Home Goals]]+world_cup_matches9[[#This Row],[Away Goals]]</f>
        <v>2</v>
      </c>
      <c r="L624" t="s">
        <v>132</v>
      </c>
      <c r="M6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4" t="b">
        <v>0</v>
      </c>
    </row>
    <row r="625" spans="1:14" x14ac:dyDescent="0.3">
      <c r="A625">
        <v>268</v>
      </c>
      <c r="B625">
        <v>1974</v>
      </c>
      <c r="C625" s="2">
        <v>27213</v>
      </c>
      <c r="D625" s="3" cm="1">
        <f t="array" ref="D6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5" t="s">
        <v>102</v>
      </c>
      <c r="F625" t="str">
        <f>IF((world_cup_matches9[[#This Row],[StageOrder]]&gt;=7),"High Pressure","Low Pressure")</f>
        <v>Low Pressure</v>
      </c>
      <c r="G625" t="s">
        <v>62</v>
      </c>
      <c r="H625">
        <v>2</v>
      </c>
      <c r="I625">
        <v>1</v>
      </c>
      <c r="J625" t="s">
        <v>69</v>
      </c>
      <c r="K625">
        <f>world_cup_matches9[[#This Row],[Home Goals]]+world_cup_matches9[[#This Row],[Away Goals]]</f>
        <v>3</v>
      </c>
      <c r="L625" t="s">
        <v>132</v>
      </c>
      <c r="M6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5" t="b">
        <v>0</v>
      </c>
    </row>
    <row r="626" spans="1:14" x14ac:dyDescent="0.3">
      <c r="A626">
        <v>295</v>
      </c>
      <c r="B626">
        <v>1978</v>
      </c>
      <c r="C626" s="2">
        <v>28655</v>
      </c>
      <c r="D626" s="3" cm="1">
        <f t="array" ref="D6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6" t="s">
        <v>102</v>
      </c>
      <c r="F626" t="str">
        <f>IF((world_cup_matches9[[#This Row],[StageOrder]]&gt;=7),"High Pressure","Low Pressure")</f>
        <v>Low Pressure</v>
      </c>
      <c r="G626" t="s">
        <v>17</v>
      </c>
      <c r="H626">
        <v>0</v>
      </c>
      <c r="I626">
        <v>0</v>
      </c>
      <c r="J626" t="s">
        <v>46</v>
      </c>
      <c r="K626">
        <f>world_cup_matches9[[#This Row],[Home Goals]]+world_cup_matches9[[#This Row],[Away Goals]]</f>
        <v>0</v>
      </c>
      <c r="L626" t="s">
        <v>132</v>
      </c>
      <c r="M6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6" t="b">
        <v>0</v>
      </c>
    </row>
    <row r="627" spans="1:14" x14ac:dyDescent="0.3">
      <c r="A627">
        <v>296</v>
      </c>
      <c r="B627">
        <v>1978</v>
      </c>
      <c r="C627" s="2">
        <v>28655</v>
      </c>
      <c r="D627" s="3" cm="1">
        <f t="array" ref="D6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7" t="s">
        <v>102</v>
      </c>
      <c r="F627" t="str">
        <f>IF((world_cup_matches9[[#This Row],[StageOrder]]&gt;=7),"High Pressure","Low Pressure")</f>
        <v>Low Pressure</v>
      </c>
      <c r="G627" t="s">
        <v>2</v>
      </c>
      <c r="H627">
        <v>5</v>
      </c>
      <c r="I627">
        <v>1</v>
      </c>
      <c r="J627" t="s">
        <v>55</v>
      </c>
      <c r="K627">
        <f>world_cup_matches9[[#This Row],[Home Goals]]+world_cup_matches9[[#This Row],[Away Goals]]</f>
        <v>6</v>
      </c>
      <c r="L627" t="s">
        <v>132</v>
      </c>
      <c r="M6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7" t="b">
        <v>0</v>
      </c>
    </row>
    <row r="628" spans="1:14" x14ac:dyDescent="0.3">
      <c r="A628">
        <v>297</v>
      </c>
      <c r="B628">
        <v>1978</v>
      </c>
      <c r="C628" s="2">
        <v>28655</v>
      </c>
      <c r="D628" s="3" cm="1">
        <f t="array" ref="D6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8" t="s">
        <v>102</v>
      </c>
      <c r="F628" t="str">
        <f>IF((world_cup_matches9[[#This Row],[StageOrder]]&gt;=7),"High Pressure","Low Pressure")</f>
        <v>Low Pressure</v>
      </c>
      <c r="G628" t="s">
        <v>23</v>
      </c>
      <c r="H628">
        <v>3</v>
      </c>
      <c r="I628">
        <v>0</v>
      </c>
      <c r="J628" t="s">
        <v>72</v>
      </c>
      <c r="K628">
        <f>world_cup_matches9[[#This Row],[Home Goals]]+world_cup_matches9[[#This Row],[Away Goals]]</f>
        <v>3</v>
      </c>
      <c r="L628" t="s">
        <v>132</v>
      </c>
      <c r="M6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8" t="b">
        <v>0</v>
      </c>
    </row>
    <row r="629" spans="1:14" x14ac:dyDescent="0.3">
      <c r="A629">
        <v>298</v>
      </c>
      <c r="B629">
        <v>1978</v>
      </c>
      <c r="C629" s="2">
        <v>28655</v>
      </c>
      <c r="D629" s="3" cm="1">
        <f t="array" ref="D6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29" t="s">
        <v>102</v>
      </c>
      <c r="F629" t="str">
        <f>IF((world_cup_matches9[[#This Row],[StageOrder]]&gt;=7),"High Pressure","Low Pressure")</f>
        <v>Low Pressure</v>
      </c>
      <c r="G629" t="s">
        <v>7</v>
      </c>
      <c r="H629">
        <v>2</v>
      </c>
      <c r="I629">
        <v>0</v>
      </c>
      <c r="J629" t="s">
        <v>10</v>
      </c>
      <c r="K629">
        <f>world_cup_matches9[[#This Row],[Home Goals]]+world_cup_matches9[[#This Row],[Away Goals]]</f>
        <v>2</v>
      </c>
      <c r="L629" t="s">
        <v>132</v>
      </c>
      <c r="M6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29" t="b">
        <v>1</v>
      </c>
    </row>
    <row r="630" spans="1:14" x14ac:dyDescent="0.3">
      <c r="A630">
        <v>299</v>
      </c>
      <c r="B630">
        <v>1978</v>
      </c>
      <c r="C630" s="2">
        <v>28659</v>
      </c>
      <c r="D630" s="3" cm="1">
        <f t="array" ref="D6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0" t="s">
        <v>102</v>
      </c>
      <c r="F630" t="str">
        <f>IF((world_cup_matches9[[#This Row],[StageOrder]]&gt;=7),"High Pressure","Low Pressure")</f>
        <v>Low Pressure</v>
      </c>
      <c r="G630" t="s">
        <v>10</v>
      </c>
      <c r="H630">
        <v>1</v>
      </c>
      <c r="I630">
        <v>0</v>
      </c>
      <c r="J630" t="s">
        <v>72</v>
      </c>
      <c r="K630">
        <f>world_cup_matches9[[#This Row],[Home Goals]]+world_cup_matches9[[#This Row],[Away Goals]]</f>
        <v>1</v>
      </c>
      <c r="L630" t="s">
        <v>132</v>
      </c>
      <c r="M6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0" t="b">
        <v>0</v>
      </c>
    </row>
    <row r="631" spans="1:14" x14ac:dyDescent="0.3">
      <c r="A631">
        <v>300</v>
      </c>
      <c r="B631">
        <v>1978</v>
      </c>
      <c r="C631" s="2">
        <v>28659</v>
      </c>
      <c r="D631" s="3" cm="1">
        <f t="array" ref="D6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1" t="s">
        <v>102</v>
      </c>
      <c r="F631" t="str">
        <f>IF((world_cup_matches9[[#This Row],[StageOrder]]&gt;=7),"High Pressure","Low Pressure")</f>
        <v>Low Pressure</v>
      </c>
      <c r="G631" t="s">
        <v>46</v>
      </c>
      <c r="H631">
        <v>1</v>
      </c>
      <c r="I631">
        <v>0</v>
      </c>
      <c r="J631" t="s">
        <v>55</v>
      </c>
      <c r="K631">
        <f>world_cup_matches9[[#This Row],[Home Goals]]+world_cup_matches9[[#This Row],[Away Goals]]</f>
        <v>1</v>
      </c>
      <c r="L631" t="s">
        <v>132</v>
      </c>
      <c r="M6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1" t="b">
        <v>0</v>
      </c>
    </row>
    <row r="632" spans="1:14" x14ac:dyDescent="0.3">
      <c r="A632">
        <v>301</v>
      </c>
      <c r="B632">
        <v>1978</v>
      </c>
      <c r="C632" s="2">
        <v>28659</v>
      </c>
      <c r="D632" s="3" cm="1">
        <f t="array" ref="D6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2" t="s">
        <v>102</v>
      </c>
      <c r="F632" t="str">
        <f>IF((world_cup_matches9[[#This Row],[StageOrder]]&gt;=7),"High Pressure","Low Pressure")</f>
        <v>Low Pressure</v>
      </c>
      <c r="G632" t="s">
        <v>17</v>
      </c>
      <c r="H632">
        <v>2</v>
      </c>
      <c r="I632">
        <v>2</v>
      </c>
      <c r="J632" t="s">
        <v>2</v>
      </c>
      <c r="K632">
        <f>world_cup_matches9[[#This Row],[Home Goals]]+world_cup_matches9[[#This Row],[Away Goals]]</f>
        <v>4</v>
      </c>
      <c r="L632" t="s">
        <v>132</v>
      </c>
      <c r="M6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2" t="b">
        <v>0</v>
      </c>
    </row>
    <row r="633" spans="1:14" x14ac:dyDescent="0.3">
      <c r="A633">
        <v>302</v>
      </c>
      <c r="B633">
        <v>1978</v>
      </c>
      <c r="C633" s="2">
        <v>28659</v>
      </c>
      <c r="D633" s="3" cm="1">
        <f t="array" ref="D6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3" t="s">
        <v>102</v>
      </c>
      <c r="F633" t="str">
        <f>IF((world_cup_matches9[[#This Row],[StageOrder]]&gt;=7),"High Pressure","Low Pressure")</f>
        <v>Low Pressure</v>
      </c>
      <c r="G633" t="s">
        <v>7</v>
      </c>
      <c r="H633">
        <v>0</v>
      </c>
      <c r="I633">
        <v>0</v>
      </c>
      <c r="J633" t="s">
        <v>23</v>
      </c>
      <c r="K633">
        <f>world_cup_matches9[[#This Row],[Home Goals]]+world_cup_matches9[[#This Row],[Away Goals]]</f>
        <v>0</v>
      </c>
      <c r="L633" t="s">
        <v>132</v>
      </c>
      <c r="M6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3" t="b">
        <v>1</v>
      </c>
    </row>
    <row r="634" spans="1:14" x14ac:dyDescent="0.3">
      <c r="A634">
        <v>303</v>
      </c>
      <c r="B634">
        <v>1978</v>
      </c>
      <c r="C634" s="2">
        <v>28662</v>
      </c>
      <c r="D634" s="3" cm="1">
        <f t="array" ref="D6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4" t="s">
        <v>102</v>
      </c>
      <c r="F634" t="str">
        <f>IF((world_cup_matches9[[#This Row],[StageOrder]]&gt;=7),"High Pressure","Low Pressure")</f>
        <v>Low Pressure</v>
      </c>
      <c r="G634" t="s">
        <v>2</v>
      </c>
      <c r="H634">
        <v>2</v>
      </c>
      <c r="I634">
        <v>1</v>
      </c>
      <c r="J634" t="s">
        <v>46</v>
      </c>
      <c r="K634">
        <f>world_cup_matches9[[#This Row],[Home Goals]]+world_cup_matches9[[#This Row],[Away Goals]]</f>
        <v>3</v>
      </c>
      <c r="L634" t="s">
        <v>132</v>
      </c>
      <c r="M6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4" t="b">
        <v>0</v>
      </c>
    </row>
    <row r="635" spans="1:14" x14ac:dyDescent="0.3">
      <c r="A635">
        <v>304</v>
      </c>
      <c r="B635">
        <v>1978</v>
      </c>
      <c r="C635" s="2">
        <v>28662</v>
      </c>
      <c r="D635" s="3" cm="1">
        <f t="array" ref="D6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5" t="s">
        <v>102</v>
      </c>
      <c r="F635" t="str">
        <f>IF((world_cup_matches9[[#This Row],[StageOrder]]&gt;=7),"High Pressure","Low Pressure")</f>
        <v>Low Pressure</v>
      </c>
      <c r="G635" t="s">
        <v>55</v>
      </c>
      <c r="H635">
        <v>3</v>
      </c>
      <c r="I635">
        <v>2</v>
      </c>
      <c r="J635" t="s">
        <v>17</v>
      </c>
      <c r="K635">
        <f>world_cup_matches9[[#This Row],[Home Goals]]+world_cup_matches9[[#This Row],[Away Goals]]</f>
        <v>5</v>
      </c>
      <c r="L635" t="s">
        <v>132</v>
      </c>
      <c r="M6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5" t="b">
        <v>0</v>
      </c>
    </row>
    <row r="636" spans="1:14" x14ac:dyDescent="0.3">
      <c r="A636">
        <v>305</v>
      </c>
      <c r="B636">
        <v>1978</v>
      </c>
      <c r="C636" s="2">
        <v>28662</v>
      </c>
      <c r="D636" s="3" cm="1">
        <f t="array" ref="D6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6" t="s">
        <v>102</v>
      </c>
      <c r="F636" t="str">
        <f>IF((world_cup_matches9[[#This Row],[StageOrder]]&gt;=7),"High Pressure","Low Pressure")</f>
        <v>Low Pressure</v>
      </c>
      <c r="G636" t="s">
        <v>23</v>
      </c>
      <c r="H636">
        <v>3</v>
      </c>
      <c r="I636">
        <v>1</v>
      </c>
      <c r="J636" t="s">
        <v>10</v>
      </c>
      <c r="K636">
        <f>world_cup_matches9[[#This Row],[Home Goals]]+world_cup_matches9[[#This Row],[Away Goals]]</f>
        <v>4</v>
      </c>
      <c r="L636" t="s">
        <v>132</v>
      </c>
      <c r="M6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6" t="b">
        <v>0</v>
      </c>
    </row>
    <row r="637" spans="1:14" x14ac:dyDescent="0.3">
      <c r="A637">
        <v>306</v>
      </c>
      <c r="B637">
        <v>1978</v>
      </c>
      <c r="C637" s="2">
        <v>28662</v>
      </c>
      <c r="D637" s="3" cm="1">
        <f t="array" ref="D6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7" t="s">
        <v>102</v>
      </c>
      <c r="F637" t="str">
        <f>IF((world_cup_matches9[[#This Row],[StageOrder]]&gt;=7),"High Pressure","Low Pressure")</f>
        <v>Low Pressure</v>
      </c>
      <c r="G637" t="s">
        <v>7</v>
      </c>
      <c r="H637">
        <v>6</v>
      </c>
      <c r="I637">
        <v>0</v>
      </c>
      <c r="J637" t="s">
        <v>72</v>
      </c>
      <c r="K637">
        <f>world_cup_matches9[[#This Row],[Home Goals]]+world_cup_matches9[[#This Row],[Away Goals]]</f>
        <v>6</v>
      </c>
      <c r="L637" t="s">
        <v>132</v>
      </c>
      <c r="M6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7" t="b">
        <v>1</v>
      </c>
    </row>
    <row r="638" spans="1:14" x14ac:dyDescent="0.3">
      <c r="A638">
        <v>345</v>
      </c>
      <c r="B638">
        <v>1982</v>
      </c>
      <c r="C638" s="2">
        <v>30130</v>
      </c>
      <c r="D638" s="3" cm="1">
        <f t="array" ref="D6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8" t="s">
        <v>102</v>
      </c>
      <c r="F638" t="str">
        <f>IF((world_cup_matches9[[#This Row],[StageOrder]]&gt;=7),"High Pressure","Low Pressure")</f>
        <v>Low Pressure</v>
      </c>
      <c r="G638" t="s">
        <v>55</v>
      </c>
      <c r="H638">
        <v>0</v>
      </c>
      <c r="I638">
        <v>1</v>
      </c>
      <c r="J638" t="s">
        <v>11</v>
      </c>
      <c r="K638">
        <f>world_cup_matches9[[#This Row],[Home Goals]]+world_cup_matches9[[#This Row],[Away Goals]]</f>
        <v>1</v>
      </c>
      <c r="L638" t="s">
        <v>132</v>
      </c>
      <c r="M6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8" t="b">
        <v>0</v>
      </c>
    </row>
    <row r="639" spans="1:14" x14ac:dyDescent="0.3">
      <c r="A639">
        <v>346</v>
      </c>
      <c r="B639">
        <v>1982</v>
      </c>
      <c r="C639" s="2">
        <v>30130</v>
      </c>
      <c r="D639" s="3" cm="1">
        <f t="array" ref="D6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39" t="s">
        <v>102</v>
      </c>
      <c r="F639" t="str">
        <f>IF((world_cup_matches9[[#This Row],[StageOrder]]&gt;=7),"High Pressure","Low Pressure")</f>
        <v>Low Pressure</v>
      </c>
      <c r="G639" t="s">
        <v>10</v>
      </c>
      <c r="H639">
        <v>3</v>
      </c>
      <c r="I639">
        <v>0</v>
      </c>
      <c r="J639" t="s">
        <v>19</v>
      </c>
      <c r="K639">
        <f>world_cup_matches9[[#This Row],[Home Goals]]+world_cup_matches9[[#This Row],[Away Goals]]</f>
        <v>3</v>
      </c>
      <c r="L639" t="s">
        <v>132</v>
      </c>
      <c r="M6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39" t="b">
        <v>0</v>
      </c>
    </row>
    <row r="640" spans="1:14" x14ac:dyDescent="0.3">
      <c r="A640">
        <v>347</v>
      </c>
      <c r="B640">
        <v>1982</v>
      </c>
      <c r="C640" s="2">
        <v>30131</v>
      </c>
      <c r="D640" s="3" cm="1">
        <f t="array" ref="D6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0" t="s">
        <v>102</v>
      </c>
      <c r="F640" t="str">
        <f>IF((world_cup_matches9[[#This Row],[StageOrder]]&gt;=7),"High Pressure","Low Pressure")</f>
        <v>Low Pressure</v>
      </c>
      <c r="G640" t="s">
        <v>46</v>
      </c>
      <c r="H640">
        <v>2</v>
      </c>
      <c r="I640">
        <v>1</v>
      </c>
      <c r="J640" t="s">
        <v>7</v>
      </c>
      <c r="K640">
        <f>world_cup_matches9[[#This Row],[Home Goals]]+world_cup_matches9[[#This Row],[Away Goals]]</f>
        <v>3</v>
      </c>
      <c r="L640" t="s">
        <v>132</v>
      </c>
      <c r="M6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0" t="b">
        <v>0</v>
      </c>
    </row>
    <row r="641" spans="1:14" x14ac:dyDescent="0.3">
      <c r="A641">
        <v>348</v>
      </c>
      <c r="B641">
        <v>1982</v>
      </c>
      <c r="C641" s="2">
        <v>30131</v>
      </c>
      <c r="D641" s="3" cm="1">
        <f t="array" ref="D6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1" t="s">
        <v>102</v>
      </c>
      <c r="F641" t="str">
        <f>IF((world_cup_matches9[[#This Row],[StageOrder]]&gt;=7),"High Pressure","Low Pressure")</f>
        <v>Low Pressure</v>
      </c>
      <c r="G641" t="s">
        <v>17</v>
      </c>
      <c r="H641">
        <v>0</v>
      </c>
      <c r="I641">
        <v>0</v>
      </c>
      <c r="J641" t="s">
        <v>3</v>
      </c>
      <c r="K641">
        <f>world_cup_matches9[[#This Row],[Home Goals]]+world_cup_matches9[[#This Row],[Away Goals]]</f>
        <v>0</v>
      </c>
      <c r="L641" t="s">
        <v>132</v>
      </c>
      <c r="M6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1" t="b">
        <v>0</v>
      </c>
    </row>
    <row r="642" spans="1:14" x14ac:dyDescent="0.3">
      <c r="A642">
        <v>349</v>
      </c>
      <c r="B642">
        <v>1982</v>
      </c>
      <c r="C642" s="2">
        <v>30133</v>
      </c>
      <c r="D642" s="3" cm="1">
        <f t="array" ref="D6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2" t="s">
        <v>102</v>
      </c>
      <c r="F642" t="str">
        <f>IF((world_cup_matches9[[#This Row],[StageOrder]]&gt;=7),"High Pressure","Low Pressure")</f>
        <v>Low Pressure</v>
      </c>
      <c r="G642" t="s">
        <v>55</v>
      </c>
      <c r="H642">
        <v>2</v>
      </c>
      <c r="I642">
        <v>2</v>
      </c>
      <c r="J642" t="s">
        <v>60</v>
      </c>
      <c r="K642">
        <f>world_cup_matches9[[#This Row],[Home Goals]]+world_cup_matches9[[#This Row],[Away Goals]]</f>
        <v>4</v>
      </c>
      <c r="L642" t="s">
        <v>132</v>
      </c>
      <c r="M6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2" t="b">
        <v>0</v>
      </c>
    </row>
    <row r="643" spans="1:14" x14ac:dyDescent="0.3">
      <c r="A643">
        <v>350</v>
      </c>
      <c r="B643">
        <v>1982</v>
      </c>
      <c r="C643" s="2">
        <v>30133</v>
      </c>
      <c r="D643" s="3" cm="1">
        <f t="array" ref="D6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3" t="s">
        <v>102</v>
      </c>
      <c r="F643" t="str">
        <f>IF((world_cup_matches9[[#This Row],[StageOrder]]&gt;=7),"High Pressure","Low Pressure")</f>
        <v>Low Pressure</v>
      </c>
      <c r="G643" t="s">
        <v>19</v>
      </c>
      <c r="H643">
        <v>0</v>
      </c>
      <c r="I643">
        <v>1</v>
      </c>
      <c r="J643" t="s">
        <v>54</v>
      </c>
      <c r="K643">
        <f>world_cup_matches9[[#This Row],[Home Goals]]+world_cup_matches9[[#This Row],[Away Goals]]</f>
        <v>1</v>
      </c>
      <c r="L643" t="s">
        <v>132</v>
      </c>
      <c r="M6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3" t="b">
        <v>0</v>
      </c>
    </row>
    <row r="644" spans="1:14" x14ac:dyDescent="0.3">
      <c r="A644">
        <v>351</v>
      </c>
      <c r="B644">
        <v>1982</v>
      </c>
      <c r="C644" s="2">
        <v>30134</v>
      </c>
      <c r="D644" s="3" cm="1">
        <f t="array" ref="D6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4" t="s">
        <v>102</v>
      </c>
      <c r="F644" t="str">
        <f>IF((world_cup_matches9[[#This Row],[StageOrder]]&gt;=7),"High Pressure","Low Pressure")</f>
        <v>Low Pressure</v>
      </c>
      <c r="G644" t="s">
        <v>7</v>
      </c>
      <c r="H644">
        <v>1</v>
      </c>
      <c r="I644">
        <v>3</v>
      </c>
      <c r="J644" t="s">
        <v>23</v>
      </c>
      <c r="K644">
        <f>world_cup_matches9[[#This Row],[Home Goals]]+world_cup_matches9[[#This Row],[Away Goals]]</f>
        <v>4</v>
      </c>
      <c r="L644" t="s">
        <v>132</v>
      </c>
      <c r="M6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4" t="b">
        <v>0</v>
      </c>
    </row>
    <row r="645" spans="1:14" x14ac:dyDescent="0.3">
      <c r="A645">
        <v>352</v>
      </c>
      <c r="B645">
        <v>1982</v>
      </c>
      <c r="C645" s="2">
        <v>30134</v>
      </c>
      <c r="D645" s="3" cm="1">
        <f t="array" ref="D6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5" t="s">
        <v>102</v>
      </c>
      <c r="F645" t="str">
        <f>IF((world_cup_matches9[[#This Row],[StageOrder]]&gt;=7),"High Pressure","Low Pressure")</f>
        <v>Low Pressure</v>
      </c>
      <c r="G645" t="s">
        <v>15</v>
      </c>
      <c r="H645">
        <v>1</v>
      </c>
      <c r="I645">
        <v>2</v>
      </c>
      <c r="J645" t="s">
        <v>17</v>
      </c>
      <c r="K645">
        <f>world_cup_matches9[[#This Row],[Home Goals]]+world_cup_matches9[[#This Row],[Away Goals]]</f>
        <v>3</v>
      </c>
      <c r="L645" t="s">
        <v>132</v>
      </c>
      <c r="M6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5" t="b">
        <v>1</v>
      </c>
    </row>
    <row r="646" spans="1:14" x14ac:dyDescent="0.3">
      <c r="A646">
        <v>353</v>
      </c>
      <c r="B646">
        <v>1982</v>
      </c>
      <c r="C646" s="2">
        <v>30136</v>
      </c>
      <c r="D646" s="3" cm="1">
        <f t="array" ref="D6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6" t="s">
        <v>102</v>
      </c>
      <c r="F646" t="str">
        <f>IF((world_cup_matches9[[#This Row],[StageOrder]]&gt;=7),"High Pressure","Low Pressure")</f>
        <v>Low Pressure</v>
      </c>
      <c r="G646" t="s">
        <v>11</v>
      </c>
      <c r="H646">
        <v>4</v>
      </c>
      <c r="I646">
        <v>1</v>
      </c>
      <c r="J646" t="s">
        <v>60</v>
      </c>
      <c r="K646">
        <f>world_cup_matches9[[#This Row],[Home Goals]]+world_cup_matches9[[#This Row],[Away Goals]]</f>
        <v>5</v>
      </c>
      <c r="L646" t="s">
        <v>132</v>
      </c>
      <c r="M6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6" t="b">
        <v>0</v>
      </c>
    </row>
    <row r="647" spans="1:14" x14ac:dyDescent="0.3">
      <c r="A647">
        <v>354</v>
      </c>
      <c r="B647">
        <v>1982</v>
      </c>
      <c r="C647" s="2">
        <v>30136</v>
      </c>
      <c r="D647" s="3" cm="1">
        <f t="array" ref="D6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7" t="s">
        <v>102</v>
      </c>
      <c r="F647" t="str">
        <f>IF((world_cup_matches9[[#This Row],[StageOrder]]&gt;=7),"High Pressure","Low Pressure")</f>
        <v>Low Pressure</v>
      </c>
      <c r="G647" t="s">
        <v>10</v>
      </c>
      <c r="H647">
        <v>0</v>
      </c>
      <c r="I647">
        <v>0</v>
      </c>
      <c r="J647" t="s">
        <v>54</v>
      </c>
      <c r="K647">
        <f>world_cup_matches9[[#This Row],[Home Goals]]+world_cup_matches9[[#This Row],[Away Goals]]</f>
        <v>0</v>
      </c>
      <c r="L647" t="s">
        <v>132</v>
      </c>
      <c r="M6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7" t="b">
        <v>0</v>
      </c>
    </row>
    <row r="648" spans="1:14" x14ac:dyDescent="0.3">
      <c r="A648">
        <v>355</v>
      </c>
      <c r="B648">
        <v>1982</v>
      </c>
      <c r="C648" s="2">
        <v>30137</v>
      </c>
      <c r="D648" s="3" cm="1">
        <f t="array" ref="D6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8" t="s">
        <v>102</v>
      </c>
      <c r="F648" t="str">
        <f>IF((world_cup_matches9[[#This Row],[StageOrder]]&gt;=7),"High Pressure","Low Pressure")</f>
        <v>Low Pressure</v>
      </c>
      <c r="G648" t="s">
        <v>46</v>
      </c>
      <c r="H648">
        <v>3</v>
      </c>
      <c r="I648">
        <v>2</v>
      </c>
      <c r="J648" t="s">
        <v>23</v>
      </c>
      <c r="K648">
        <f>world_cup_matches9[[#This Row],[Home Goals]]+world_cup_matches9[[#This Row],[Away Goals]]</f>
        <v>5</v>
      </c>
      <c r="L648" t="s">
        <v>132</v>
      </c>
      <c r="M6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8" t="b">
        <v>0</v>
      </c>
    </row>
    <row r="649" spans="1:14" x14ac:dyDescent="0.3">
      <c r="A649">
        <v>356</v>
      </c>
      <c r="B649">
        <v>1982</v>
      </c>
      <c r="C649" s="2">
        <v>30137</v>
      </c>
      <c r="D649" s="3" cm="1">
        <f t="array" ref="D6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3</v>
      </c>
      <c r="E649" t="s">
        <v>102</v>
      </c>
      <c r="F649" t="str">
        <f>IF((world_cup_matches9[[#This Row],[StageOrder]]&gt;=7),"High Pressure","Low Pressure")</f>
        <v>Low Pressure</v>
      </c>
      <c r="G649" t="s">
        <v>15</v>
      </c>
      <c r="H649">
        <v>0</v>
      </c>
      <c r="I649">
        <v>0</v>
      </c>
      <c r="J649" t="s">
        <v>3</v>
      </c>
      <c r="K649">
        <f>world_cup_matches9[[#This Row],[Home Goals]]+world_cup_matches9[[#This Row],[Away Goals]]</f>
        <v>0</v>
      </c>
      <c r="L649" t="s">
        <v>132</v>
      </c>
      <c r="M6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49" t="b">
        <v>1</v>
      </c>
    </row>
    <row r="650" spans="1:14" x14ac:dyDescent="0.3">
      <c r="A650">
        <v>54</v>
      </c>
      <c r="B650">
        <v>1950</v>
      </c>
      <c r="C650" s="2">
        <v>18438</v>
      </c>
      <c r="D650" s="3" cm="1">
        <f t="array" ref="D6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0" t="s">
        <v>98</v>
      </c>
      <c r="F650" t="str">
        <f>IF((world_cup_matches9[[#This Row],[StageOrder]]&gt;=7),"High Pressure","Low Pressure")</f>
        <v>Low Pressure</v>
      </c>
      <c r="G650" t="s">
        <v>23</v>
      </c>
      <c r="H650">
        <v>4</v>
      </c>
      <c r="I650">
        <v>0</v>
      </c>
      <c r="J650" t="s">
        <v>9</v>
      </c>
      <c r="K650">
        <f>world_cup_matches9[[#This Row],[Home Goals]]+world_cup_matches9[[#This Row],[Away Goals]]</f>
        <v>4</v>
      </c>
      <c r="L650" t="s">
        <v>132</v>
      </c>
      <c r="M6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0" t="b">
        <v>1</v>
      </c>
    </row>
    <row r="651" spans="1:14" x14ac:dyDescent="0.3">
      <c r="A651">
        <v>55</v>
      </c>
      <c r="B651">
        <v>1950</v>
      </c>
      <c r="C651" s="2">
        <v>18439</v>
      </c>
      <c r="D651" s="3" cm="1">
        <f t="array" ref="D6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1" t="s">
        <v>98</v>
      </c>
      <c r="F651" t="str">
        <f>IF((world_cup_matches9[[#This Row],[StageOrder]]&gt;=7),"High Pressure","Low Pressure")</f>
        <v>Low Pressure</v>
      </c>
      <c r="G651" t="s">
        <v>3</v>
      </c>
      <c r="H651">
        <v>2</v>
      </c>
      <c r="I651">
        <v>0</v>
      </c>
      <c r="J651" t="s">
        <v>63</v>
      </c>
      <c r="K651">
        <f>world_cup_matches9[[#This Row],[Home Goals]]+world_cup_matches9[[#This Row],[Away Goals]]</f>
        <v>2</v>
      </c>
      <c r="L651" t="s">
        <v>132</v>
      </c>
      <c r="M6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1" t="b">
        <v>0</v>
      </c>
    </row>
    <row r="652" spans="1:14" x14ac:dyDescent="0.3">
      <c r="A652">
        <v>56</v>
      </c>
      <c r="B652">
        <v>1950</v>
      </c>
      <c r="C652" s="2">
        <v>18439</v>
      </c>
      <c r="D652" s="3" cm="1">
        <f t="array" ref="D6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2" t="s">
        <v>98</v>
      </c>
      <c r="F652" t="str">
        <f>IF((world_cup_matches9[[#This Row],[StageOrder]]&gt;=7),"High Pressure","Low Pressure")</f>
        <v>Low Pressure</v>
      </c>
      <c r="G652" t="s">
        <v>15</v>
      </c>
      <c r="H652">
        <v>3</v>
      </c>
      <c r="I652">
        <v>1</v>
      </c>
      <c r="J652" t="s">
        <v>5</v>
      </c>
      <c r="K652">
        <f>world_cup_matches9[[#This Row],[Home Goals]]+world_cup_matches9[[#This Row],[Away Goals]]</f>
        <v>4</v>
      </c>
      <c r="L652" t="s">
        <v>132</v>
      </c>
      <c r="M6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2" t="b">
        <v>0</v>
      </c>
    </row>
    <row r="653" spans="1:14" x14ac:dyDescent="0.3">
      <c r="A653">
        <v>57</v>
      </c>
      <c r="B653">
        <v>1950</v>
      </c>
      <c r="C653" s="2">
        <v>18439</v>
      </c>
      <c r="D653" s="3" cm="1">
        <f t="array" ref="D6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3" t="s">
        <v>98</v>
      </c>
      <c r="F653" t="str">
        <f>IF((world_cup_matches9[[#This Row],[StageOrder]]&gt;=7),"High Pressure","Low Pressure")</f>
        <v>Low Pressure</v>
      </c>
      <c r="G653" t="s">
        <v>62</v>
      </c>
      <c r="H653">
        <v>3</v>
      </c>
      <c r="I653">
        <v>2</v>
      </c>
      <c r="J653" t="s">
        <v>46</v>
      </c>
      <c r="K653">
        <f>world_cup_matches9[[#This Row],[Home Goals]]+world_cup_matches9[[#This Row],[Away Goals]]</f>
        <v>5</v>
      </c>
      <c r="L653" t="s">
        <v>132</v>
      </c>
      <c r="M6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3" t="b">
        <v>0</v>
      </c>
    </row>
    <row r="654" spans="1:14" x14ac:dyDescent="0.3">
      <c r="A654">
        <v>58</v>
      </c>
      <c r="B654">
        <v>1950</v>
      </c>
      <c r="C654" s="2">
        <v>18439</v>
      </c>
      <c r="D654" s="3" cm="1">
        <f t="array" ref="D6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4" t="s">
        <v>98</v>
      </c>
      <c r="F654" t="str">
        <f>IF((world_cup_matches9[[#This Row],[StageOrder]]&gt;=7),"High Pressure","Low Pressure")</f>
        <v>Low Pressure</v>
      </c>
      <c r="G654" t="s">
        <v>69</v>
      </c>
      <c r="H654">
        <v>3</v>
      </c>
      <c r="I654">
        <v>0</v>
      </c>
      <c r="J654" t="s">
        <v>25</v>
      </c>
      <c r="K654">
        <f>world_cup_matches9[[#This Row],[Home Goals]]+world_cup_matches9[[#This Row],[Away Goals]]</f>
        <v>3</v>
      </c>
      <c r="L654" t="s">
        <v>132</v>
      </c>
      <c r="M6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4" t="b">
        <v>0</v>
      </c>
    </row>
    <row r="655" spans="1:14" x14ac:dyDescent="0.3">
      <c r="A655">
        <v>59</v>
      </c>
      <c r="B655">
        <v>1950</v>
      </c>
      <c r="C655" s="2">
        <v>18442</v>
      </c>
      <c r="D655" s="3" cm="1">
        <f t="array" ref="D6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5" t="s">
        <v>98</v>
      </c>
      <c r="F655" t="str">
        <f>IF((world_cup_matches9[[#This Row],[StageOrder]]&gt;=7),"High Pressure","Low Pressure")</f>
        <v>Low Pressure</v>
      </c>
      <c r="G655" t="s">
        <v>23</v>
      </c>
      <c r="H655">
        <v>2</v>
      </c>
      <c r="I655">
        <v>2</v>
      </c>
      <c r="J655" t="s">
        <v>25</v>
      </c>
      <c r="K655">
        <f>world_cup_matches9[[#This Row],[Home Goals]]+world_cup_matches9[[#This Row],[Away Goals]]</f>
        <v>4</v>
      </c>
      <c r="L655" t="s">
        <v>132</v>
      </c>
      <c r="M6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5" t="b">
        <v>1</v>
      </c>
    </row>
    <row r="656" spans="1:14" x14ac:dyDescent="0.3">
      <c r="A656">
        <v>60</v>
      </c>
      <c r="B656">
        <v>1950</v>
      </c>
      <c r="C656" s="2">
        <v>18442</v>
      </c>
      <c r="D656" s="3" cm="1">
        <f t="array" ref="D6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6" t="s">
        <v>98</v>
      </c>
      <c r="F656" t="str">
        <f>IF((world_cup_matches9[[#This Row],[StageOrder]]&gt;=7),"High Pressure","Low Pressure")</f>
        <v>Low Pressure</v>
      </c>
      <c r="G656" t="s">
        <v>69</v>
      </c>
      <c r="H656">
        <v>4</v>
      </c>
      <c r="I656">
        <v>1</v>
      </c>
      <c r="J656" t="s">
        <v>9</v>
      </c>
      <c r="K656">
        <f>world_cup_matches9[[#This Row],[Home Goals]]+world_cup_matches9[[#This Row],[Away Goals]]</f>
        <v>5</v>
      </c>
      <c r="L656" t="s">
        <v>132</v>
      </c>
      <c r="M6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6" t="b">
        <v>0</v>
      </c>
    </row>
    <row r="657" spans="1:14" x14ac:dyDescent="0.3">
      <c r="A657">
        <v>61</v>
      </c>
      <c r="B657">
        <v>1950</v>
      </c>
      <c r="C657" s="2">
        <v>18443</v>
      </c>
      <c r="D657" s="3" cm="1">
        <f t="array" ref="D6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7" t="s">
        <v>98</v>
      </c>
      <c r="F657" t="str">
        <f>IF((world_cup_matches9[[#This Row],[StageOrder]]&gt;=7),"High Pressure","Low Pressure")</f>
        <v>Low Pressure</v>
      </c>
      <c r="G657" t="s">
        <v>15</v>
      </c>
      <c r="H657">
        <v>2</v>
      </c>
      <c r="I657">
        <v>0</v>
      </c>
      <c r="J657" t="s">
        <v>63</v>
      </c>
      <c r="K657">
        <f>world_cup_matches9[[#This Row],[Home Goals]]+world_cup_matches9[[#This Row],[Away Goals]]</f>
        <v>2</v>
      </c>
      <c r="L657" t="s">
        <v>132</v>
      </c>
      <c r="M6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7" t="b">
        <v>0</v>
      </c>
    </row>
    <row r="658" spans="1:14" x14ac:dyDescent="0.3">
      <c r="A658">
        <v>62</v>
      </c>
      <c r="B658">
        <v>1950</v>
      </c>
      <c r="C658" s="2">
        <v>18443</v>
      </c>
      <c r="D658" s="3" cm="1">
        <f t="array" ref="D6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8" t="s">
        <v>98</v>
      </c>
      <c r="F658" t="str">
        <f>IF((world_cup_matches9[[#This Row],[StageOrder]]&gt;=7),"High Pressure","Low Pressure")</f>
        <v>Low Pressure</v>
      </c>
      <c r="G658" t="s">
        <v>5</v>
      </c>
      <c r="H658">
        <v>1</v>
      </c>
      <c r="I658">
        <v>0</v>
      </c>
      <c r="J658" t="s">
        <v>3</v>
      </c>
      <c r="K658">
        <f>world_cup_matches9[[#This Row],[Home Goals]]+world_cup_matches9[[#This Row],[Away Goals]]</f>
        <v>1</v>
      </c>
      <c r="L658" t="s">
        <v>132</v>
      </c>
      <c r="M6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8" t="b">
        <v>0</v>
      </c>
    </row>
    <row r="659" spans="1:14" x14ac:dyDescent="0.3">
      <c r="A659">
        <v>63</v>
      </c>
      <c r="B659">
        <v>1950</v>
      </c>
      <c r="C659" s="2">
        <v>18443</v>
      </c>
      <c r="D659" s="3" cm="1">
        <f t="array" ref="D6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59" t="s">
        <v>98</v>
      </c>
      <c r="F659" t="str">
        <f>IF((world_cup_matches9[[#This Row],[StageOrder]]&gt;=7),"High Pressure","Low Pressure")</f>
        <v>Low Pressure</v>
      </c>
      <c r="G659" t="s">
        <v>62</v>
      </c>
      <c r="H659">
        <v>2</v>
      </c>
      <c r="I659">
        <v>2</v>
      </c>
      <c r="J659" t="s">
        <v>65</v>
      </c>
      <c r="K659">
        <f>world_cup_matches9[[#This Row],[Home Goals]]+world_cup_matches9[[#This Row],[Away Goals]]</f>
        <v>4</v>
      </c>
      <c r="L659" t="s">
        <v>132</v>
      </c>
      <c r="M6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59" t="b">
        <v>0</v>
      </c>
    </row>
    <row r="660" spans="1:14" x14ac:dyDescent="0.3">
      <c r="A660">
        <v>64</v>
      </c>
      <c r="B660">
        <v>1950</v>
      </c>
      <c r="C660" s="2">
        <v>18445</v>
      </c>
      <c r="D660" s="3" cm="1">
        <f t="array" ref="D6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60" t="s">
        <v>98</v>
      </c>
      <c r="F660" t="str">
        <f>IF((world_cup_matches9[[#This Row],[StageOrder]]&gt;=7),"High Pressure","Low Pressure")</f>
        <v>Low Pressure</v>
      </c>
      <c r="G660" t="s">
        <v>23</v>
      </c>
      <c r="H660">
        <v>2</v>
      </c>
      <c r="I660">
        <v>0</v>
      </c>
      <c r="J660" t="s">
        <v>69</v>
      </c>
      <c r="K660">
        <f>world_cup_matches9[[#This Row],[Home Goals]]+world_cup_matches9[[#This Row],[Away Goals]]</f>
        <v>2</v>
      </c>
      <c r="L660" t="s">
        <v>132</v>
      </c>
      <c r="M6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0" t="b">
        <v>1</v>
      </c>
    </row>
    <row r="661" spans="1:14" x14ac:dyDescent="0.3">
      <c r="A661">
        <v>65</v>
      </c>
      <c r="B661">
        <v>1950</v>
      </c>
      <c r="C661" s="2">
        <v>18446</v>
      </c>
      <c r="D661" s="3" cm="1">
        <f t="array" ref="D6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61" t="s">
        <v>98</v>
      </c>
      <c r="F661" t="str">
        <f>IF((world_cup_matches9[[#This Row],[StageOrder]]&gt;=7),"High Pressure","Low Pressure")</f>
        <v>Low Pressure</v>
      </c>
      <c r="G661" t="s">
        <v>15</v>
      </c>
      <c r="H661">
        <v>1</v>
      </c>
      <c r="I661">
        <v>0</v>
      </c>
      <c r="J661" t="s">
        <v>3</v>
      </c>
      <c r="K661">
        <f>world_cup_matches9[[#This Row],[Home Goals]]+world_cup_matches9[[#This Row],[Away Goals]]</f>
        <v>1</v>
      </c>
      <c r="L661" t="s">
        <v>132</v>
      </c>
      <c r="M6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1" t="b">
        <v>0</v>
      </c>
    </row>
    <row r="662" spans="1:14" x14ac:dyDescent="0.3">
      <c r="A662">
        <v>66</v>
      </c>
      <c r="B662">
        <v>1950</v>
      </c>
      <c r="C662" s="2">
        <v>18446</v>
      </c>
      <c r="D662" s="3" cm="1">
        <f t="array" ref="D6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62" t="s">
        <v>98</v>
      </c>
      <c r="F662" t="str">
        <f>IF((world_cup_matches9[[#This Row],[StageOrder]]&gt;=7),"High Pressure","Low Pressure")</f>
        <v>Low Pressure</v>
      </c>
      <c r="G662" t="s">
        <v>46</v>
      </c>
      <c r="H662">
        <v>2</v>
      </c>
      <c r="I662">
        <v>0</v>
      </c>
      <c r="J662" t="s">
        <v>65</v>
      </c>
      <c r="K662">
        <f>world_cup_matches9[[#This Row],[Home Goals]]+world_cup_matches9[[#This Row],[Away Goals]]</f>
        <v>2</v>
      </c>
      <c r="L662" t="s">
        <v>132</v>
      </c>
      <c r="M6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2" t="b">
        <v>0</v>
      </c>
    </row>
    <row r="663" spans="1:14" x14ac:dyDescent="0.3">
      <c r="A663">
        <v>67</v>
      </c>
      <c r="B663">
        <v>1950</v>
      </c>
      <c r="C663" s="2">
        <v>18446</v>
      </c>
      <c r="D663" s="3" cm="1">
        <f t="array" ref="D6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63" t="s">
        <v>98</v>
      </c>
      <c r="F663" t="str">
        <f>IF((world_cup_matches9[[#This Row],[StageOrder]]&gt;=7),"High Pressure","Low Pressure")</f>
        <v>Low Pressure</v>
      </c>
      <c r="G663" t="s">
        <v>29</v>
      </c>
      <c r="H663">
        <v>8</v>
      </c>
      <c r="I663">
        <v>0</v>
      </c>
      <c r="J663" t="s">
        <v>71</v>
      </c>
      <c r="K663">
        <f>world_cup_matches9[[#This Row],[Home Goals]]+world_cup_matches9[[#This Row],[Away Goals]]</f>
        <v>8</v>
      </c>
      <c r="L663" t="s">
        <v>132</v>
      </c>
      <c r="M6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3" t="b">
        <v>0</v>
      </c>
    </row>
    <row r="664" spans="1:14" x14ac:dyDescent="0.3">
      <c r="A664">
        <v>68</v>
      </c>
      <c r="B664">
        <v>1950</v>
      </c>
      <c r="C664" s="2">
        <v>18446</v>
      </c>
      <c r="D664" s="3" cm="1">
        <f t="array" ref="D6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64" t="s">
        <v>98</v>
      </c>
      <c r="F664" t="str">
        <f>IF((world_cup_matches9[[#This Row],[StageOrder]]&gt;=7),"High Pressure","Low Pressure")</f>
        <v>Low Pressure</v>
      </c>
      <c r="G664" t="s">
        <v>63</v>
      </c>
      <c r="H664">
        <v>5</v>
      </c>
      <c r="I664">
        <v>2</v>
      </c>
      <c r="J664" t="s">
        <v>5</v>
      </c>
      <c r="K664">
        <f>world_cup_matches9[[#This Row],[Home Goals]]+world_cup_matches9[[#This Row],[Away Goals]]</f>
        <v>7</v>
      </c>
      <c r="L664" t="s">
        <v>132</v>
      </c>
      <c r="M6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4" t="b">
        <v>0</v>
      </c>
    </row>
    <row r="665" spans="1:14" x14ac:dyDescent="0.3">
      <c r="A665">
        <v>69</v>
      </c>
      <c r="B665">
        <v>1950</v>
      </c>
      <c r="C665" s="2">
        <v>18446</v>
      </c>
      <c r="D665" s="3" cm="1">
        <f t="array" ref="D6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4</v>
      </c>
      <c r="E665" t="s">
        <v>98</v>
      </c>
      <c r="F665" t="str">
        <f>IF((world_cup_matches9[[#This Row],[StageOrder]]&gt;=7),"High Pressure","Low Pressure")</f>
        <v>Low Pressure</v>
      </c>
      <c r="G665" t="s">
        <v>25</v>
      </c>
      <c r="H665">
        <v>2</v>
      </c>
      <c r="I665">
        <v>1</v>
      </c>
      <c r="J665" t="s">
        <v>9</v>
      </c>
      <c r="K665">
        <f>world_cup_matches9[[#This Row],[Home Goals]]+world_cup_matches9[[#This Row],[Away Goals]]</f>
        <v>3</v>
      </c>
      <c r="L665" t="s">
        <v>132</v>
      </c>
      <c r="M6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5" t="b">
        <v>0</v>
      </c>
    </row>
    <row r="666" spans="1:14" x14ac:dyDescent="0.3">
      <c r="A666">
        <v>19</v>
      </c>
      <c r="B666">
        <v>1934</v>
      </c>
      <c r="C666" s="2">
        <v>12566</v>
      </c>
      <c r="D666" s="3" cm="1">
        <f t="array" ref="D6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66" t="s">
        <v>39</v>
      </c>
      <c r="F666" t="str">
        <f>IF((world_cup_matches9[[#This Row],[StageOrder]]&gt;=7),"High Pressure","Low Pressure")</f>
        <v>Low Pressure</v>
      </c>
      <c r="G666" t="s">
        <v>55</v>
      </c>
      <c r="H666">
        <v>3</v>
      </c>
      <c r="I666">
        <v>2</v>
      </c>
      <c r="J666" t="s">
        <v>11</v>
      </c>
      <c r="K666">
        <f>world_cup_matches9[[#This Row],[Home Goals]]+world_cup_matches9[[#This Row],[Away Goals]]</f>
        <v>5</v>
      </c>
      <c r="L666" t="s">
        <v>97</v>
      </c>
      <c r="M6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66" t="b">
        <v>0</v>
      </c>
    </row>
    <row r="667" spans="1:14" x14ac:dyDescent="0.3">
      <c r="A667">
        <v>20</v>
      </c>
      <c r="B667">
        <v>1934</v>
      </c>
      <c r="C667" s="2">
        <v>12566</v>
      </c>
      <c r="D667" s="3" cm="1">
        <f t="array" ref="D6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67" t="s">
        <v>39</v>
      </c>
      <c r="F667" t="str">
        <f>IF((world_cup_matches9[[#This Row],[StageOrder]]&gt;=7),"High Pressure","Low Pressure")</f>
        <v>Low Pressure</v>
      </c>
      <c r="G667" t="s">
        <v>52</v>
      </c>
      <c r="H667">
        <v>4</v>
      </c>
      <c r="I667">
        <v>2</v>
      </c>
      <c r="J667" t="s">
        <v>51</v>
      </c>
      <c r="K667">
        <f>world_cup_matches9[[#This Row],[Home Goals]]+world_cup_matches9[[#This Row],[Away Goals]]</f>
        <v>6</v>
      </c>
      <c r="L667" t="s">
        <v>132</v>
      </c>
      <c r="M6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7" t="b">
        <v>0</v>
      </c>
    </row>
    <row r="668" spans="1:14" x14ac:dyDescent="0.3">
      <c r="A668">
        <v>21</v>
      </c>
      <c r="B668">
        <v>1934</v>
      </c>
      <c r="C668" s="2">
        <v>12566</v>
      </c>
      <c r="D668" s="3" cm="1">
        <f t="array" ref="D6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68" t="s">
        <v>39</v>
      </c>
      <c r="F668" t="str">
        <f>IF((world_cup_matches9[[#This Row],[StageOrder]]&gt;=7),"High Pressure","Low Pressure")</f>
        <v>Low Pressure</v>
      </c>
      <c r="G668" t="s">
        <v>25</v>
      </c>
      <c r="H668">
        <v>3</v>
      </c>
      <c r="I668">
        <v>2</v>
      </c>
      <c r="J668" t="s">
        <v>2</v>
      </c>
      <c r="K668">
        <f>world_cup_matches9[[#This Row],[Home Goals]]+world_cup_matches9[[#This Row],[Away Goals]]</f>
        <v>5</v>
      </c>
      <c r="L668" t="s">
        <v>132</v>
      </c>
      <c r="M6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8" t="b">
        <v>0</v>
      </c>
    </row>
    <row r="669" spans="1:14" x14ac:dyDescent="0.3">
      <c r="A669">
        <v>22</v>
      </c>
      <c r="B669">
        <v>1934</v>
      </c>
      <c r="C669" s="2">
        <v>12566</v>
      </c>
      <c r="D669" s="3" cm="1">
        <f t="array" ref="D6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69" t="s">
        <v>39</v>
      </c>
      <c r="F669" t="str">
        <f>IF((world_cup_matches9[[#This Row],[StageOrder]]&gt;=7),"High Pressure","Low Pressure")</f>
        <v>Low Pressure</v>
      </c>
      <c r="G669" t="s">
        <v>62</v>
      </c>
      <c r="H669">
        <v>3</v>
      </c>
      <c r="I669">
        <v>2</v>
      </c>
      <c r="J669" t="s">
        <v>7</v>
      </c>
      <c r="K669">
        <f>world_cup_matches9[[#This Row],[Home Goals]]+world_cup_matches9[[#This Row],[Away Goals]]</f>
        <v>5</v>
      </c>
      <c r="L669" t="s">
        <v>132</v>
      </c>
      <c r="M6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69" t="b">
        <v>0</v>
      </c>
    </row>
    <row r="670" spans="1:14" x14ac:dyDescent="0.3">
      <c r="A670">
        <v>23</v>
      </c>
      <c r="B670">
        <v>1934</v>
      </c>
      <c r="C670" s="2">
        <v>12566</v>
      </c>
      <c r="D670" s="3" cm="1">
        <f t="array" ref="D6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0" t="s">
        <v>39</v>
      </c>
      <c r="F670" t="str">
        <f>IF((world_cup_matches9[[#This Row],[StageOrder]]&gt;=7),"High Pressure","Low Pressure")</f>
        <v>Low Pressure</v>
      </c>
      <c r="G670" t="s">
        <v>17</v>
      </c>
      <c r="H670">
        <v>5</v>
      </c>
      <c r="I670">
        <v>2</v>
      </c>
      <c r="J670" t="s">
        <v>19</v>
      </c>
      <c r="K670">
        <f>world_cup_matches9[[#This Row],[Home Goals]]+world_cup_matches9[[#This Row],[Away Goals]]</f>
        <v>7</v>
      </c>
      <c r="L670" t="s">
        <v>132</v>
      </c>
      <c r="M6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0" t="b">
        <v>0</v>
      </c>
    </row>
    <row r="671" spans="1:14" x14ac:dyDescent="0.3">
      <c r="A671">
        <v>24</v>
      </c>
      <c r="B671">
        <v>1934</v>
      </c>
      <c r="C671" s="2">
        <v>12566</v>
      </c>
      <c r="D671" s="3" cm="1">
        <f t="array" ref="D6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1" t="s">
        <v>39</v>
      </c>
      <c r="F671" t="str">
        <f>IF((world_cup_matches9[[#This Row],[StageOrder]]&gt;=7),"High Pressure","Low Pressure")</f>
        <v>Low Pressure</v>
      </c>
      <c r="G671" t="s">
        <v>15</v>
      </c>
      <c r="H671">
        <v>3</v>
      </c>
      <c r="I671">
        <v>1</v>
      </c>
      <c r="J671" t="s">
        <v>23</v>
      </c>
      <c r="K671">
        <f>world_cup_matches9[[#This Row],[Home Goals]]+world_cup_matches9[[#This Row],[Away Goals]]</f>
        <v>4</v>
      </c>
      <c r="L671" t="s">
        <v>132</v>
      </c>
      <c r="M6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1" t="b">
        <v>0</v>
      </c>
    </row>
    <row r="672" spans="1:14" x14ac:dyDescent="0.3">
      <c r="A672">
        <v>25</v>
      </c>
      <c r="B672">
        <v>1934</v>
      </c>
      <c r="C672" s="2">
        <v>12566</v>
      </c>
      <c r="D672" s="3" cm="1">
        <f t="array" ref="D6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2" t="s">
        <v>39</v>
      </c>
      <c r="F672" t="str">
        <f>IF((world_cup_matches9[[#This Row],[StageOrder]]&gt;=7),"High Pressure","Low Pressure")</f>
        <v>Low Pressure</v>
      </c>
      <c r="G672" t="s">
        <v>46</v>
      </c>
      <c r="H672">
        <v>7</v>
      </c>
      <c r="I672">
        <v>1</v>
      </c>
      <c r="J672" t="s">
        <v>5</v>
      </c>
      <c r="K672">
        <f>world_cup_matches9[[#This Row],[Home Goals]]+world_cup_matches9[[#This Row],[Away Goals]]</f>
        <v>8</v>
      </c>
      <c r="L672" t="s">
        <v>132</v>
      </c>
      <c r="M6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2" t="b">
        <v>1</v>
      </c>
    </row>
    <row r="673" spans="1:14" x14ac:dyDescent="0.3">
      <c r="A673">
        <v>26</v>
      </c>
      <c r="B673">
        <v>1934</v>
      </c>
      <c r="C673" s="2">
        <v>12566</v>
      </c>
      <c r="D673" s="3" cm="1">
        <f t="array" ref="D6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3" t="s">
        <v>39</v>
      </c>
      <c r="F673" t="str">
        <f>IF((world_cup_matches9[[#This Row],[StageOrder]]&gt;=7),"High Pressure","Low Pressure")</f>
        <v>Low Pressure</v>
      </c>
      <c r="G673" t="s">
        <v>61</v>
      </c>
      <c r="H673">
        <v>2</v>
      </c>
      <c r="I673">
        <v>1</v>
      </c>
      <c r="J673" t="s">
        <v>68</v>
      </c>
      <c r="K673">
        <f>world_cup_matches9[[#This Row],[Home Goals]]+world_cup_matches9[[#This Row],[Away Goals]]</f>
        <v>3</v>
      </c>
      <c r="L673" t="s">
        <v>132</v>
      </c>
      <c r="M6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3" t="b">
        <v>0</v>
      </c>
    </row>
    <row r="674" spans="1:14" x14ac:dyDescent="0.3">
      <c r="A674">
        <v>36</v>
      </c>
      <c r="B674">
        <v>1938</v>
      </c>
      <c r="C674" s="2">
        <v>14035</v>
      </c>
      <c r="D674" s="3" cm="1">
        <f t="array" ref="D6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4" t="s">
        <v>39</v>
      </c>
      <c r="F674" t="str">
        <f>IF((world_cup_matches9[[#This Row],[StageOrder]]&gt;=7),"High Pressure","Low Pressure")</f>
        <v>Low Pressure</v>
      </c>
      <c r="G674" t="s">
        <v>25</v>
      </c>
      <c r="H674">
        <v>1</v>
      </c>
      <c r="I674">
        <v>1</v>
      </c>
      <c r="J674" t="s">
        <v>17</v>
      </c>
      <c r="K674">
        <f>world_cup_matches9[[#This Row],[Home Goals]]+world_cup_matches9[[#This Row],[Away Goals]]</f>
        <v>2</v>
      </c>
      <c r="L674" t="s">
        <v>132</v>
      </c>
      <c r="M6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4" t="b">
        <v>0</v>
      </c>
    </row>
    <row r="675" spans="1:14" x14ac:dyDescent="0.3">
      <c r="A675">
        <v>37</v>
      </c>
      <c r="B675">
        <v>1938</v>
      </c>
      <c r="C675" s="2">
        <v>14036</v>
      </c>
      <c r="D675" s="3" cm="1">
        <f t="array" ref="D6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5" t="s">
        <v>39</v>
      </c>
      <c r="F675" t="str">
        <f>IF((world_cup_matches9[[#This Row],[StageOrder]]&gt;=7),"High Pressure","Low Pressure")</f>
        <v>Low Pressure</v>
      </c>
      <c r="G675" t="s">
        <v>52</v>
      </c>
      <c r="H675">
        <v>6</v>
      </c>
      <c r="I675">
        <v>0</v>
      </c>
      <c r="J675" t="s">
        <v>76</v>
      </c>
      <c r="K675">
        <f>world_cup_matches9[[#This Row],[Home Goals]]+world_cup_matches9[[#This Row],[Away Goals]]</f>
        <v>6</v>
      </c>
      <c r="L675" t="s">
        <v>132</v>
      </c>
      <c r="M6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5" t="b">
        <v>0</v>
      </c>
    </row>
    <row r="676" spans="1:14" x14ac:dyDescent="0.3">
      <c r="A676">
        <v>38</v>
      </c>
      <c r="B676">
        <v>1938</v>
      </c>
      <c r="C676" s="2">
        <v>14036</v>
      </c>
      <c r="D676" s="3" cm="1">
        <f t="array" ref="D6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6" t="s">
        <v>39</v>
      </c>
      <c r="F676" t="str">
        <f>IF((world_cup_matches9[[#This Row],[StageOrder]]&gt;=7),"High Pressure","Low Pressure")</f>
        <v>Low Pressure</v>
      </c>
      <c r="G676" t="s">
        <v>11</v>
      </c>
      <c r="H676">
        <v>3</v>
      </c>
      <c r="I676">
        <v>1</v>
      </c>
      <c r="J676" t="s">
        <v>19</v>
      </c>
      <c r="K676">
        <f>world_cup_matches9[[#This Row],[Home Goals]]+world_cup_matches9[[#This Row],[Away Goals]]</f>
        <v>4</v>
      </c>
      <c r="L676" t="s">
        <v>132</v>
      </c>
      <c r="M6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6" t="b">
        <v>1</v>
      </c>
    </row>
    <row r="677" spans="1:14" x14ac:dyDescent="0.3">
      <c r="A677">
        <v>39</v>
      </c>
      <c r="B677">
        <v>1938</v>
      </c>
      <c r="C677" s="2">
        <v>14036</v>
      </c>
      <c r="D677" s="3" cm="1">
        <f t="array" ref="D6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7" t="s">
        <v>39</v>
      </c>
      <c r="F677" t="str">
        <f>IF((world_cup_matches9[[#This Row],[StageOrder]]&gt;=7),"High Pressure","Low Pressure")</f>
        <v>Low Pressure</v>
      </c>
      <c r="G677" t="s">
        <v>75</v>
      </c>
      <c r="H677">
        <v>3</v>
      </c>
      <c r="I677">
        <v>3</v>
      </c>
      <c r="J677" t="s">
        <v>68</v>
      </c>
      <c r="K677">
        <f>world_cup_matches9[[#This Row],[Home Goals]]+world_cup_matches9[[#This Row],[Away Goals]]</f>
        <v>6</v>
      </c>
      <c r="L677" t="s">
        <v>132</v>
      </c>
      <c r="M6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77" t="b">
        <v>0</v>
      </c>
    </row>
    <row r="678" spans="1:14" x14ac:dyDescent="0.3">
      <c r="A678">
        <v>40</v>
      </c>
      <c r="B678">
        <v>1938</v>
      </c>
      <c r="C678" s="2">
        <v>14036</v>
      </c>
      <c r="D678" s="3" cm="1">
        <f t="array" ref="D6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8" t="s">
        <v>39</v>
      </c>
      <c r="F678" t="str">
        <f>IF((world_cup_matches9[[#This Row],[StageOrder]]&gt;=7),"High Pressure","Low Pressure")</f>
        <v>Low Pressure</v>
      </c>
      <c r="G678" t="s">
        <v>46</v>
      </c>
      <c r="H678">
        <v>2</v>
      </c>
      <c r="I678">
        <v>1</v>
      </c>
      <c r="J678" t="s">
        <v>64</v>
      </c>
      <c r="K678">
        <f>world_cup_matches9[[#This Row],[Home Goals]]+world_cup_matches9[[#This Row],[Away Goals]]</f>
        <v>3</v>
      </c>
      <c r="L678" t="s">
        <v>97</v>
      </c>
      <c r="M6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78" t="b">
        <v>0</v>
      </c>
    </row>
    <row r="679" spans="1:14" x14ac:dyDescent="0.3">
      <c r="A679">
        <v>41</v>
      </c>
      <c r="B679">
        <v>1938</v>
      </c>
      <c r="C679" s="2">
        <v>14036</v>
      </c>
      <c r="D679" s="3" cm="1">
        <f t="array" ref="D6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79" t="s">
        <v>39</v>
      </c>
      <c r="F679" t="str">
        <f>IF((world_cup_matches9[[#This Row],[StageOrder]]&gt;=7),"High Pressure","Low Pressure")</f>
        <v>Low Pressure</v>
      </c>
      <c r="G679" t="s">
        <v>23</v>
      </c>
      <c r="H679">
        <v>6</v>
      </c>
      <c r="I679">
        <v>5</v>
      </c>
      <c r="J679" t="s">
        <v>10</v>
      </c>
      <c r="K679">
        <f>world_cup_matches9[[#This Row],[Home Goals]]+world_cup_matches9[[#This Row],[Away Goals]]</f>
        <v>11</v>
      </c>
      <c r="L679" t="s">
        <v>97</v>
      </c>
      <c r="M6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79" t="b">
        <v>0</v>
      </c>
    </row>
    <row r="680" spans="1:14" x14ac:dyDescent="0.3">
      <c r="A680">
        <v>42</v>
      </c>
      <c r="B680">
        <v>1938</v>
      </c>
      <c r="C680" s="2">
        <v>14036</v>
      </c>
      <c r="D680" s="3" cm="1">
        <f t="array" ref="D6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0" t="s">
        <v>39</v>
      </c>
      <c r="F680" t="str">
        <f>IF((world_cup_matches9[[#This Row],[StageOrder]]&gt;=7),"High Pressure","Low Pressure")</f>
        <v>Low Pressure</v>
      </c>
      <c r="G680" t="s">
        <v>61</v>
      </c>
      <c r="H680">
        <v>3</v>
      </c>
      <c r="I680">
        <v>0</v>
      </c>
      <c r="J680" t="s">
        <v>2</v>
      </c>
      <c r="K680">
        <f>world_cup_matches9[[#This Row],[Home Goals]]+world_cup_matches9[[#This Row],[Away Goals]]</f>
        <v>3</v>
      </c>
      <c r="L680" t="s">
        <v>97</v>
      </c>
      <c r="M6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80" t="b">
        <v>0</v>
      </c>
    </row>
    <row r="681" spans="1:14" x14ac:dyDescent="0.3">
      <c r="A681">
        <v>43</v>
      </c>
      <c r="B681">
        <v>1938</v>
      </c>
      <c r="C681" s="2">
        <v>14040</v>
      </c>
      <c r="D681" s="3" cm="1">
        <f t="array" ref="D6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1" t="s">
        <v>39</v>
      </c>
      <c r="F681" t="str">
        <f>IF((world_cup_matches9[[#This Row],[StageOrder]]&gt;=7),"High Pressure","Low Pressure")</f>
        <v>Low Pressure</v>
      </c>
      <c r="G681" t="s">
        <v>75</v>
      </c>
      <c r="H681">
        <v>2</v>
      </c>
      <c r="I681">
        <v>1</v>
      </c>
      <c r="J681" t="s">
        <v>68</v>
      </c>
      <c r="K681">
        <f>world_cup_matches9[[#This Row],[Home Goals]]+world_cup_matches9[[#This Row],[Away Goals]]</f>
        <v>3</v>
      </c>
      <c r="L681" t="s">
        <v>132</v>
      </c>
      <c r="M6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1" t="b">
        <v>0</v>
      </c>
    </row>
    <row r="682" spans="1:14" x14ac:dyDescent="0.3">
      <c r="A682">
        <v>44</v>
      </c>
      <c r="B682">
        <v>1938</v>
      </c>
      <c r="C682" s="2">
        <v>14040</v>
      </c>
      <c r="D682" s="3" cm="1">
        <f t="array" ref="D6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2" t="s">
        <v>39</v>
      </c>
      <c r="F682" t="str">
        <f>IF((world_cup_matches9[[#This Row],[StageOrder]]&gt;=7),"High Pressure","Low Pressure")</f>
        <v>Low Pressure</v>
      </c>
      <c r="G682" t="s">
        <v>25</v>
      </c>
      <c r="H682">
        <v>4</v>
      </c>
      <c r="I682">
        <v>2</v>
      </c>
      <c r="J682" t="s">
        <v>17</v>
      </c>
      <c r="K682">
        <f>world_cup_matches9[[#This Row],[Home Goals]]+world_cup_matches9[[#This Row],[Away Goals]]</f>
        <v>6</v>
      </c>
      <c r="L682" t="s">
        <v>132</v>
      </c>
      <c r="M6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2" t="b">
        <v>0</v>
      </c>
    </row>
    <row r="683" spans="1:14" x14ac:dyDescent="0.3">
      <c r="A683">
        <v>397</v>
      </c>
      <c r="B683">
        <v>1986</v>
      </c>
      <c r="C683" s="2">
        <v>31578</v>
      </c>
      <c r="D683" s="3" cm="1">
        <f t="array" ref="D6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3" t="s">
        <v>39</v>
      </c>
      <c r="F683" t="str">
        <f>IF((world_cup_matches9[[#This Row],[StageOrder]]&gt;=7),"High Pressure","Low Pressure")</f>
        <v>Low Pressure</v>
      </c>
      <c r="G683" t="s">
        <v>9</v>
      </c>
      <c r="H683">
        <v>2</v>
      </c>
      <c r="I683">
        <v>0</v>
      </c>
      <c r="J683" t="s">
        <v>74</v>
      </c>
      <c r="K683">
        <f>world_cup_matches9[[#This Row],[Home Goals]]+world_cup_matches9[[#This Row],[Away Goals]]</f>
        <v>2</v>
      </c>
      <c r="L683" t="s">
        <v>132</v>
      </c>
      <c r="M6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3" t="b">
        <v>1</v>
      </c>
    </row>
    <row r="684" spans="1:14" x14ac:dyDescent="0.3">
      <c r="A684">
        <v>398</v>
      </c>
      <c r="B684">
        <v>1986</v>
      </c>
      <c r="C684" s="2">
        <v>31578</v>
      </c>
      <c r="D684" s="3" cm="1">
        <f t="array" ref="D6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4" t="s">
        <v>39</v>
      </c>
      <c r="F684" t="str">
        <f>IF((world_cup_matches9[[#This Row],[StageOrder]]&gt;=7),"High Pressure","Low Pressure")</f>
        <v>Low Pressure</v>
      </c>
      <c r="G684" t="s">
        <v>54</v>
      </c>
      <c r="H684">
        <v>3</v>
      </c>
      <c r="I684">
        <v>4</v>
      </c>
      <c r="J684" t="s">
        <v>19</v>
      </c>
      <c r="K684">
        <f>world_cup_matches9[[#This Row],[Home Goals]]+world_cup_matches9[[#This Row],[Away Goals]]</f>
        <v>7</v>
      </c>
      <c r="L684" t="s">
        <v>97</v>
      </c>
      <c r="M6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84" t="b">
        <v>0</v>
      </c>
    </row>
    <row r="685" spans="1:14" x14ac:dyDescent="0.3">
      <c r="A685">
        <v>399</v>
      </c>
      <c r="B685">
        <v>1986</v>
      </c>
      <c r="C685" s="2">
        <v>31579</v>
      </c>
      <c r="D685" s="3" cm="1">
        <f t="array" ref="D6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5" t="s">
        <v>39</v>
      </c>
      <c r="F685" t="str">
        <f>IF((world_cup_matches9[[#This Row],[StageOrder]]&gt;=7),"High Pressure","Low Pressure")</f>
        <v>Low Pressure</v>
      </c>
      <c r="G685" t="s">
        <v>23</v>
      </c>
      <c r="H685">
        <v>4</v>
      </c>
      <c r="I685">
        <v>0</v>
      </c>
      <c r="J685" t="s">
        <v>10</v>
      </c>
      <c r="K685">
        <f>world_cup_matches9[[#This Row],[Home Goals]]+world_cup_matches9[[#This Row],[Away Goals]]</f>
        <v>4</v>
      </c>
      <c r="L685" t="s">
        <v>132</v>
      </c>
      <c r="M6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5" t="b">
        <v>0</v>
      </c>
    </row>
    <row r="686" spans="1:14" x14ac:dyDescent="0.3">
      <c r="A686">
        <v>400</v>
      </c>
      <c r="B686">
        <v>1986</v>
      </c>
      <c r="C686" s="2">
        <v>31579</v>
      </c>
      <c r="D686" s="3" cm="1">
        <f t="array" ref="D6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6" t="s">
        <v>39</v>
      </c>
      <c r="F686" t="str">
        <f>IF((world_cup_matches9[[#This Row],[StageOrder]]&gt;=7),"High Pressure","Low Pressure")</f>
        <v>Low Pressure</v>
      </c>
      <c r="G686" t="s">
        <v>7</v>
      </c>
      <c r="H686">
        <v>1</v>
      </c>
      <c r="I686">
        <v>0</v>
      </c>
      <c r="J686" t="s">
        <v>29</v>
      </c>
      <c r="K686">
        <f>world_cup_matches9[[#This Row],[Home Goals]]+world_cup_matches9[[#This Row],[Away Goals]]</f>
        <v>1</v>
      </c>
      <c r="L686" t="s">
        <v>132</v>
      </c>
      <c r="M6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6" t="b">
        <v>0</v>
      </c>
    </row>
    <row r="687" spans="1:14" x14ac:dyDescent="0.3">
      <c r="A687">
        <v>401</v>
      </c>
      <c r="B687">
        <v>1986</v>
      </c>
      <c r="C687" s="2">
        <v>31580</v>
      </c>
      <c r="D687" s="3" cm="1">
        <f t="array" ref="D6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7" t="s">
        <v>39</v>
      </c>
      <c r="F687" t="str">
        <f>IF((world_cup_matches9[[#This Row],[StageOrder]]&gt;=7),"High Pressure","Low Pressure")</f>
        <v>Low Pressure</v>
      </c>
      <c r="G687" t="s">
        <v>46</v>
      </c>
      <c r="H687">
        <v>0</v>
      </c>
      <c r="I687">
        <v>2</v>
      </c>
      <c r="J687" t="s">
        <v>11</v>
      </c>
      <c r="K687">
        <f>world_cup_matches9[[#This Row],[Home Goals]]+world_cup_matches9[[#This Row],[Away Goals]]</f>
        <v>2</v>
      </c>
      <c r="L687" t="s">
        <v>132</v>
      </c>
      <c r="M6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7" t="b">
        <v>0</v>
      </c>
    </row>
    <row r="688" spans="1:14" x14ac:dyDescent="0.3">
      <c r="A688">
        <v>402</v>
      </c>
      <c r="B688">
        <v>1986</v>
      </c>
      <c r="C688" s="2">
        <v>31580</v>
      </c>
      <c r="D688" s="3" cm="1">
        <f t="array" ref="D6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8" t="s">
        <v>39</v>
      </c>
      <c r="F688" t="str">
        <f>IF((world_cup_matches9[[#This Row],[StageOrder]]&gt;=7),"High Pressure","Low Pressure")</f>
        <v>Low Pressure</v>
      </c>
      <c r="G688" t="s">
        <v>21</v>
      </c>
      <c r="H688">
        <v>0</v>
      </c>
      <c r="I688">
        <v>1</v>
      </c>
      <c r="J688" t="s">
        <v>17</v>
      </c>
      <c r="K688">
        <f>world_cup_matches9[[#This Row],[Home Goals]]+world_cup_matches9[[#This Row],[Away Goals]]</f>
        <v>1</v>
      </c>
      <c r="L688" t="s">
        <v>132</v>
      </c>
      <c r="M6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8" t="b">
        <v>0</v>
      </c>
    </row>
    <row r="689" spans="1:14" x14ac:dyDescent="0.3">
      <c r="A689">
        <v>403</v>
      </c>
      <c r="B689">
        <v>1986</v>
      </c>
      <c r="C689" s="2">
        <v>31581</v>
      </c>
      <c r="D689" s="3" cm="1">
        <f t="array" ref="D6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89" t="s">
        <v>39</v>
      </c>
      <c r="F689" t="str">
        <f>IF((world_cup_matches9[[#This Row],[StageOrder]]&gt;=7),"High Pressure","Low Pressure")</f>
        <v>Low Pressure</v>
      </c>
      <c r="G689" t="s">
        <v>3</v>
      </c>
      <c r="H689">
        <v>3</v>
      </c>
      <c r="I689">
        <v>0</v>
      </c>
      <c r="J689" t="s">
        <v>65</v>
      </c>
      <c r="K689">
        <f>world_cup_matches9[[#This Row],[Home Goals]]+world_cup_matches9[[#This Row],[Away Goals]]</f>
        <v>3</v>
      </c>
      <c r="L689" t="s">
        <v>132</v>
      </c>
      <c r="M6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89" t="b">
        <v>0</v>
      </c>
    </row>
    <row r="690" spans="1:14" x14ac:dyDescent="0.3">
      <c r="A690">
        <v>404</v>
      </c>
      <c r="B690">
        <v>1986</v>
      </c>
      <c r="C690" s="2">
        <v>31581</v>
      </c>
      <c r="D690" s="3" cm="1">
        <f t="array" ref="D6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0" t="s">
        <v>39</v>
      </c>
      <c r="F690" t="str">
        <f>IF((world_cup_matches9[[#This Row],[StageOrder]]&gt;=7),"High Pressure","Low Pressure")</f>
        <v>Low Pressure</v>
      </c>
      <c r="G690" t="s">
        <v>13</v>
      </c>
      <c r="H690">
        <v>1</v>
      </c>
      <c r="I690">
        <v>5</v>
      </c>
      <c r="J690" t="s">
        <v>15</v>
      </c>
      <c r="K690">
        <f>world_cup_matches9[[#This Row],[Home Goals]]+world_cup_matches9[[#This Row],[Away Goals]]</f>
        <v>6</v>
      </c>
      <c r="L690" t="s">
        <v>132</v>
      </c>
      <c r="M6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0" t="b">
        <v>0</v>
      </c>
    </row>
    <row r="691" spans="1:14" x14ac:dyDescent="0.3">
      <c r="A691">
        <v>449</v>
      </c>
      <c r="B691">
        <v>1990</v>
      </c>
      <c r="C691" s="2">
        <v>33047</v>
      </c>
      <c r="D691" s="3" cm="1">
        <f t="array" ref="D6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1" t="s">
        <v>39</v>
      </c>
      <c r="F691" t="str">
        <f>IF((world_cup_matches9[[#This Row],[StageOrder]]&gt;=7),"High Pressure","Low Pressure")</f>
        <v>Low Pressure</v>
      </c>
      <c r="G691" t="s">
        <v>26</v>
      </c>
      <c r="H691">
        <v>2</v>
      </c>
      <c r="I691">
        <v>1</v>
      </c>
      <c r="J691" t="s">
        <v>53</v>
      </c>
      <c r="K691">
        <f>world_cup_matches9[[#This Row],[Home Goals]]+world_cup_matches9[[#This Row],[Away Goals]]</f>
        <v>3</v>
      </c>
      <c r="L691" t="s">
        <v>97</v>
      </c>
      <c r="M6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91" t="b">
        <v>0</v>
      </c>
    </row>
    <row r="692" spans="1:14" x14ac:dyDescent="0.3">
      <c r="A692">
        <v>450</v>
      </c>
      <c r="B692">
        <v>1990</v>
      </c>
      <c r="C692" s="2">
        <v>33047</v>
      </c>
      <c r="D692" s="3" cm="1">
        <f t="array" ref="D6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2" t="s">
        <v>39</v>
      </c>
      <c r="F692" t="str">
        <f>IF((world_cup_matches9[[#This Row],[StageOrder]]&gt;=7),"High Pressure","Low Pressure")</f>
        <v>Low Pressure</v>
      </c>
      <c r="G692" t="s">
        <v>61</v>
      </c>
      <c r="H692">
        <v>4</v>
      </c>
      <c r="I692">
        <v>1</v>
      </c>
      <c r="J692" t="s">
        <v>16</v>
      </c>
      <c r="K692">
        <f>world_cup_matches9[[#This Row],[Home Goals]]+world_cup_matches9[[#This Row],[Away Goals]]</f>
        <v>5</v>
      </c>
      <c r="L692" t="s">
        <v>132</v>
      </c>
      <c r="M6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2" t="b">
        <v>0</v>
      </c>
    </row>
    <row r="693" spans="1:14" x14ac:dyDescent="0.3">
      <c r="A693">
        <v>451</v>
      </c>
      <c r="B693">
        <v>1990</v>
      </c>
      <c r="C693" s="2">
        <v>33048</v>
      </c>
      <c r="D693" s="3" cm="1">
        <f t="array" ref="D6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3" t="s">
        <v>39</v>
      </c>
      <c r="F693" t="str">
        <f>IF((world_cup_matches9[[#This Row],[StageOrder]]&gt;=7),"High Pressure","Low Pressure")</f>
        <v>Low Pressure</v>
      </c>
      <c r="G693" t="s">
        <v>23</v>
      </c>
      <c r="H693">
        <v>0</v>
      </c>
      <c r="I693">
        <v>1</v>
      </c>
      <c r="J693" t="s">
        <v>7</v>
      </c>
      <c r="K693">
        <f>world_cup_matches9[[#This Row],[Home Goals]]+world_cup_matches9[[#This Row],[Away Goals]]</f>
        <v>1</v>
      </c>
      <c r="L693" t="s">
        <v>132</v>
      </c>
      <c r="M6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3" t="b">
        <v>0</v>
      </c>
    </row>
    <row r="694" spans="1:14" x14ac:dyDescent="0.3">
      <c r="A694">
        <v>452</v>
      </c>
      <c r="B694">
        <v>1990</v>
      </c>
      <c r="C694" s="2">
        <v>33048</v>
      </c>
      <c r="D694" s="3" cm="1">
        <f t="array" ref="D6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4" t="s">
        <v>39</v>
      </c>
      <c r="F694" t="str">
        <f>IF((world_cup_matches9[[#This Row],[StageOrder]]&gt;=7),"High Pressure","Low Pressure")</f>
        <v>Low Pressure</v>
      </c>
      <c r="G694" t="s">
        <v>17</v>
      </c>
      <c r="H694">
        <v>2</v>
      </c>
      <c r="I694">
        <v>1</v>
      </c>
      <c r="J694" t="s">
        <v>2</v>
      </c>
      <c r="K694">
        <f>world_cup_matches9[[#This Row],[Home Goals]]+world_cup_matches9[[#This Row],[Away Goals]]</f>
        <v>3</v>
      </c>
      <c r="L694" t="s">
        <v>132</v>
      </c>
      <c r="M6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4" t="b">
        <v>0</v>
      </c>
    </row>
    <row r="695" spans="1:14" x14ac:dyDescent="0.3">
      <c r="A695">
        <v>453</v>
      </c>
      <c r="B695">
        <v>1990</v>
      </c>
      <c r="C695" s="2">
        <v>33049</v>
      </c>
      <c r="D695" s="3" cm="1">
        <f t="array" ref="D6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5" t="s">
        <v>39</v>
      </c>
      <c r="F695" t="str">
        <f>IF((world_cup_matches9[[#This Row],[StageOrder]]&gt;=7),"High Pressure","Low Pressure")</f>
        <v>Low Pressure</v>
      </c>
      <c r="G695" t="s">
        <v>73</v>
      </c>
      <c r="H695">
        <v>0</v>
      </c>
      <c r="I695">
        <v>0</v>
      </c>
      <c r="J695" t="s">
        <v>68</v>
      </c>
      <c r="K695">
        <f>world_cup_matches9[[#This Row],[Home Goals]]+world_cup_matches9[[#This Row],[Away Goals]]</f>
        <v>0</v>
      </c>
      <c r="L695" t="s">
        <v>107</v>
      </c>
      <c r="M6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695" t="b">
        <v>0</v>
      </c>
    </row>
    <row r="696" spans="1:14" x14ac:dyDescent="0.3">
      <c r="A696">
        <v>454</v>
      </c>
      <c r="B696">
        <v>1990</v>
      </c>
      <c r="C696" s="2">
        <v>33049</v>
      </c>
      <c r="D696" s="3" cm="1">
        <f t="array" ref="D6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6" t="s">
        <v>39</v>
      </c>
      <c r="F696" t="str">
        <f>IF((world_cup_matches9[[#This Row],[StageOrder]]&gt;=7),"High Pressure","Low Pressure")</f>
        <v>Low Pressure</v>
      </c>
      <c r="G696" t="s">
        <v>46</v>
      </c>
      <c r="H696">
        <v>2</v>
      </c>
      <c r="I696">
        <v>0</v>
      </c>
      <c r="J696" t="s">
        <v>29</v>
      </c>
      <c r="K696">
        <f>world_cup_matches9[[#This Row],[Home Goals]]+world_cup_matches9[[#This Row],[Away Goals]]</f>
        <v>2</v>
      </c>
      <c r="L696" t="s">
        <v>132</v>
      </c>
      <c r="M6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6" t="b">
        <v>1</v>
      </c>
    </row>
    <row r="697" spans="1:14" x14ac:dyDescent="0.3">
      <c r="A697">
        <v>455</v>
      </c>
      <c r="B697">
        <v>1990</v>
      </c>
      <c r="C697" s="2">
        <v>33050</v>
      </c>
      <c r="D697" s="3" cm="1">
        <f t="array" ref="D6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7" t="s">
        <v>39</v>
      </c>
      <c r="F697" t="str">
        <f>IF((world_cup_matches9[[#This Row],[StageOrder]]&gt;=7),"High Pressure","Low Pressure")</f>
        <v>Low Pressure</v>
      </c>
      <c r="G697" t="s">
        <v>15</v>
      </c>
      <c r="H697">
        <v>1</v>
      </c>
      <c r="I697">
        <v>2</v>
      </c>
      <c r="J697" t="s">
        <v>69</v>
      </c>
      <c r="K697">
        <f>world_cup_matches9[[#This Row],[Home Goals]]+world_cup_matches9[[#This Row],[Away Goals]]</f>
        <v>3</v>
      </c>
      <c r="L697" t="s">
        <v>97</v>
      </c>
      <c r="M6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97" t="b">
        <v>0</v>
      </c>
    </row>
    <row r="698" spans="1:14" x14ac:dyDescent="0.3">
      <c r="A698">
        <v>456</v>
      </c>
      <c r="B698">
        <v>1990</v>
      </c>
      <c r="C698" s="2">
        <v>33050</v>
      </c>
      <c r="D698" s="3" cm="1">
        <f t="array" ref="D6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8" t="s">
        <v>39</v>
      </c>
      <c r="F698" t="str">
        <f>IF((world_cup_matches9[[#This Row],[StageOrder]]&gt;=7),"High Pressure","Low Pressure")</f>
        <v>Low Pressure</v>
      </c>
      <c r="G698" t="s">
        <v>3</v>
      </c>
      <c r="H698">
        <v>1</v>
      </c>
      <c r="I698">
        <v>0</v>
      </c>
      <c r="J698" t="s">
        <v>19</v>
      </c>
      <c r="K698">
        <f>world_cup_matches9[[#This Row],[Home Goals]]+world_cup_matches9[[#This Row],[Away Goals]]</f>
        <v>1</v>
      </c>
      <c r="L698" t="s">
        <v>97</v>
      </c>
      <c r="M6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698" t="b">
        <v>0</v>
      </c>
    </row>
    <row r="699" spans="1:14" x14ac:dyDescent="0.3">
      <c r="A699">
        <v>501</v>
      </c>
      <c r="B699">
        <v>1994</v>
      </c>
      <c r="C699" s="2">
        <v>34517</v>
      </c>
      <c r="D699" s="3" cm="1">
        <f t="array" ref="D6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699" t="s">
        <v>39</v>
      </c>
      <c r="F699" t="str">
        <f>IF((world_cup_matches9[[#This Row],[StageOrder]]&gt;=7),"High Pressure","Low Pressure")</f>
        <v>Low Pressure</v>
      </c>
      <c r="G699" t="s">
        <v>17</v>
      </c>
      <c r="H699">
        <v>3</v>
      </c>
      <c r="I699">
        <v>2</v>
      </c>
      <c r="J699" t="s">
        <v>19</v>
      </c>
      <c r="K699">
        <f>world_cup_matches9[[#This Row],[Home Goals]]+world_cup_matches9[[#This Row],[Away Goals]]</f>
        <v>5</v>
      </c>
      <c r="L699" t="s">
        <v>132</v>
      </c>
      <c r="M6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699" t="b">
        <v>0</v>
      </c>
    </row>
    <row r="700" spans="1:14" x14ac:dyDescent="0.3">
      <c r="A700">
        <v>502</v>
      </c>
      <c r="B700">
        <v>1994</v>
      </c>
      <c r="C700" s="2">
        <v>34517</v>
      </c>
      <c r="D700" s="3" cm="1">
        <f t="array" ref="D7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0" t="s">
        <v>39</v>
      </c>
      <c r="F700" t="str">
        <f>IF((world_cup_matches9[[#This Row],[StageOrder]]&gt;=7),"High Pressure","Low Pressure")</f>
        <v>Low Pressure</v>
      </c>
      <c r="G700" t="s">
        <v>15</v>
      </c>
      <c r="H700">
        <v>3</v>
      </c>
      <c r="I700">
        <v>0</v>
      </c>
      <c r="J700" t="s">
        <v>25</v>
      </c>
      <c r="K700">
        <f>world_cup_matches9[[#This Row],[Home Goals]]+world_cup_matches9[[#This Row],[Away Goals]]</f>
        <v>3</v>
      </c>
      <c r="L700" t="s">
        <v>132</v>
      </c>
      <c r="M7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0" t="b">
        <v>0</v>
      </c>
    </row>
    <row r="701" spans="1:14" x14ac:dyDescent="0.3">
      <c r="A701">
        <v>503</v>
      </c>
      <c r="B701">
        <v>1994</v>
      </c>
      <c r="C701" s="2">
        <v>34518</v>
      </c>
      <c r="D701" s="3" cm="1">
        <f t="array" ref="D7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1" t="s">
        <v>39</v>
      </c>
      <c r="F701" t="str">
        <f>IF((world_cup_matches9[[#This Row],[StageOrder]]&gt;=7),"High Pressure","Low Pressure")</f>
        <v>Low Pressure</v>
      </c>
      <c r="G701" t="s">
        <v>8</v>
      </c>
      <c r="H701">
        <v>1</v>
      </c>
      <c r="I701">
        <v>3</v>
      </c>
      <c r="J701" t="s">
        <v>62</v>
      </c>
      <c r="K701">
        <f>world_cup_matches9[[#This Row],[Home Goals]]+world_cup_matches9[[#This Row],[Away Goals]]</f>
        <v>4</v>
      </c>
      <c r="L701" t="s">
        <v>132</v>
      </c>
      <c r="M7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1" t="b">
        <v>0</v>
      </c>
    </row>
    <row r="702" spans="1:14" x14ac:dyDescent="0.3">
      <c r="A702">
        <v>504</v>
      </c>
      <c r="B702">
        <v>1994</v>
      </c>
      <c r="C702" s="2">
        <v>34518</v>
      </c>
      <c r="D702" s="3" cm="1">
        <f t="array" ref="D7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2" t="s">
        <v>39</v>
      </c>
      <c r="F702" t="str">
        <f>IF((world_cup_matches9[[#This Row],[StageOrder]]&gt;=7),"High Pressure","Low Pressure")</f>
        <v>Low Pressure</v>
      </c>
      <c r="G702" t="s">
        <v>68</v>
      </c>
      <c r="H702">
        <v>3</v>
      </c>
      <c r="I702">
        <v>2</v>
      </c>
      <c r="J702" t="s">
        <v>7</v>
      </c>
      <c r="K702">
        <f>world_cup_matches9[[#This Row],[Home Goals]]+world_cup_matches9[[#This Row],[Away Goals]]</f>
        <v>5</v>
      </c>
      <c r="L702" t="s">
        <v>132</v>
      </c>
      <c r="M7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2" t="b">
        <v>0</v>
      </c>
    </row>
    <row r="703" spans="1:14" x14ac:dyDescent="0.3">
      <c r="A703">
        <v>505</v>
      </c>
      <c r="B703">
        <v>1994</v>
      </c>
      <c r="C703" s="2">
        <v>34519</v>
      </c>
      <c r="D703" s="3" cm="1">
        <f t="array" ref="D7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3" t="s">
        <v>39</v>
      </c>
      <c r="F703" t="str">
        <f>IF((world_cup_matches9[[#This Row],[StageOrder]]&gt;=7),"High Pressure","Low Pressure")</f>
        <v>Low Pressure</v>
      </c>
      <c r="G703" t="s">
        <v>2</v>
      </c>
      <c r="H703">
        <v>2</v>
      </c>
      <c r="I703">
        <v>0</v>
      </c>
      <c r="J703" t="s">
        <v>73</v>
      </c>
      <c r="K703">
        <f>world_cup_matches9[[#This Row],[Home Goals]]+world_cup_matches9[[#This Row],[Away Goals]]</f>
        <v>2</v>
      </c>
      <c r="L703" t="s">
        <v>132</v>
      </c>
      <c r="M7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3" t="b">
        <v>0</v>
      </c>
    </row>
    <row r="704" spans="1:14" x14ac:dyDescent="0.3">
      <c r="A704">
        <v>506</v>
      </c>
      <c r="B704">
        <v>1994</v>
      </c>
      <c r="C704" s="2">
        <v>34519</v>
      </c>
      <c r="D704" s="3" cm="1">
        <f t="array" ref="D7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4" t="s">
        <v>39</v>
      </c>
      <c r="F704" t="str">
        <f>IF((world_cup_matches9[[#This Row],[StageOrder]]&gt;=7),"High Pressure","Low Pressure")</f>
        <v>Low Pressure</v>
      </c>
      <c r="G704" t="s">
        <v>5</v>
      </c>
      <c r="H704">
        <v>0</v>
      </c>
      <c r="I704">
        <v>1</v>
      </c>
      <c r="J704" t="s">
        <v>23</v>
      </c>
      <c r="K704">
        <f>world_cup_matches9[[#This Row],[Home Goals]]+world_cup_matches9[[#This Row],[Away Goals]]</f>
        <v>1</v>
      </c>
      <c r="L704" t="s">
        <v>132</v>
      </c>
      <c r="M7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4" t="b">
        <v>1</v>
      </c>
    </row>
    <row r="705" spans="1:14" x14ac:dyDescent="0.3">
      <c r="A705">
        <v>507</v>
      </c>
      <c r="B705">
        <v>1994</v>
      </c>
      <c r="C705" s="2">
        <v>34520</v>
      </c>
      <c r="D705" s="3" cm="1">
        <f t="array" ref="D7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5" t="s">
        <v>39</v>
      </c>
      <c r="F705" t="str">
        <f>IF((world_cup_matches9[[#This Row],[StageOrder]]&gt;=7),"High Pressure","Low Pressure")</f>
        <v>Low Pressure</v>
      </c>
      <c r="G705" t="s">
        <v>82</v>
      </c>
      <c r="H705">
        <v>1</v>
      </c>
      <c r="I705">
        <v>2</v>
      </c>
      <c r="J705" t="s">
        <v>46</v>
      </c>
      <c r="K705">
        <f>world_cup_matches9[[#This Row],[Home Goals]]+world_cup_matches9[[#This Row],[Away Goals]]</f>
        <v>3</v>
      </c>
      <c r="L705" t="s">
        <v>97</v>
      </c>
      <c r="M7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05" t="b">
        <v>0</v>
      </c>
    </row>
    <row r="706" spans="1:14" x14ac:dyDescent="0.3">
      <c r="A706">
        <v>508</v>
      </c>
      <c r="B706">
        <v>1994</v>
      </c>
      <c r="C706" s="2">
        <v>34520</v>
      </c>
      <c r="D706" s="3" cm="1">
        <f t="array" ref="D7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6" t="s">
        <v>39</v>
      </c>
      <c r="F706" t="str">
        <f>IF((world_cup_matches9[[#This Row],[StageOrder]]&gt;=7),"High Pressure","Low Pressure")</f>
        <v>Low Pressure</v>
      </c>
      <c r="G706" t="s">
        <v>9</v>
      </c>
      <c r="H706">
        <v>1</v>
      </c>
      <c r="I706">
        <v>1</v>
      </c>
      <c r="J706" t="s">
        <v>74</v>
      </c>
      <c r="K706">
        <f>world_cup_matches9[[#This Row],[Home Goals]]+world_cup_matches9[[#This Row],[Away Goals]]</f>
        <v>2</v>
      </c>
      <c r="L706" t="s">
        <v>111</v>
      </c>
      <c r="M7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06" t="b">
        <v>0</v>
      </c>
    </row>
    <row r="707" spans="1:14" x14ac:dyDescent="0.3">
      <c r="A707">
        <v>565</v>
      </c>
      <c r="B707">
        <v>1998</v>
      </c>
      <c r="C707" s="2">
        <v>35973</v>
      </c>
      <c r="D707" s="3" cm="1">
        <f t="array" ref="D7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7" t="s">
        <v>39</v>
      </c>
      <c r="F707" t="str">
        <f>IF((world_cup_matches9[[#This Row],[StageOrder]]&gt;=7),"High Pressure","Low Pressure")</f>
        <v>Low Pressure</v>
      </c>
      <c r="G707" t="s">
        <v>46</v>
      </c>
      <c r="H707">
        <v>1</v>
      </c>
      <c r="I707">
        <v>0</v>
      </c>
      <c r="J707" t="s">
        <v>64</v>
      </c>
      <c r="K707">
        <f>world_cup_matches9[[#This Row],[Home Goals]]+world_cup_matches9[[#This Row],[Away Goals]]</f>
        <v>1</v>
      </c>
      <c r="L707" t="s">
        <v>132</v>
      </c>
      <c r="M7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7" t="b">
        <v>0</v>
      </c>
    </row>
    <row r="708" spans="1:14" x14ac:dyDescent="0.3">
      <c r="A708">
        <v>566</v>
      </c>
      <c r="B708">
        <v>1998</v>
      </c>
      <c r="C708" s="2">
        <v>35973</v>
      </c>
      <c r="D708" s="3" cm="1">
        <f t="array" ref="D7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8" t="s">
        <v>39</v>
      </c>
      <c r="F708" t="str">
        <f>IF((world_cup_matches9[[#This Row],[StageOrder]]&gt;=7),"High Pressure","Low Pressure")</f>
        <v>Low Pressure</v>
      </c>
      <c r="G708" t="s">
        <v>23</v>
      </c>
      <c r="H708">
        <v>4</v>
      </c>
      <c r="I708">
        <v>1</v>
      </c>
      <c r="J708" t="s">
        <v>63</v>
      </c>
      <c r="K708">
        <f>world_cup_matches9[[#This Row],[Home Goals]]+world_cup_matches9[[#This Row],[Away Goals]]</f>
        <v>5</v>
      </c>
      <c r="L708" t="s">
        <v>132</v>
      </c>
      <c r="M7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08" t="b">
        <v>0</v>
      </c>
    </row>
    <row r="709" spans="1:14" x14ac:dyDescent="0.3">
      <c r="A709">
        <v>567</v>
      </c>
      <c r="B709">
        <v>1998</v>
      </c>
      <c r="C709" s="2">
        <v>35974</v>
      </c>
      <c r="D709" s="3" cm="1">
        <f t="array" ref="D7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09" t="s">
        <v>39</v>
      </c>
      <c r="F709" t="str">
        <f>IF((world_cup_matches9[[#This Row],[StageOrder]]&gt;=7),"High Pressure","Low Pressure")</f>
        <v>Low Pressure</v>
      </c>
      <c r="G709" t="s">
        <v>11</v>
      </c>
      <c r="H709">
        <v>1</v>
      </c>
      <c r="I709">
        <v>0</v>
      </c>
      <c r="J709" t="s">
        <v>65</v>
      </c>
      <c r="K709">
        <f>world_cup_matches9[[#This Row],[Home Goals]]+world_cup_matches9[[#This Row],[Away Goals]]</f>
        <v>1</v>
      </c>
      <c r="L709" t="s">
        <v>97</v>
      </c>
      <c r="M7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09" t="b">
        <v>1</v>
      </c>
    </row>
    <row r="710" spans="1:14" x14ac:dyDescent="0.3">
      <c r="A710">
        <v>568</v>
      </c>
      <c r="B710">
        <v>1998</v>
      </c>
      <c r="C710" s="2">
        <v>35974</v>
      </c>
      <c r="D710" s="3" cm="1">
        <f t="array" ref="D7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0" t="s">
        <v>39</v>
      </c>
      <c r="F710" t="str">
        <f>IF((world_cup_matches9[[#This Row],[StageOrder]]&gt;=7),"High Pressure","Low Pressure")</f>
        <v>Low Pressure</v>
      </c>
      <c r="G710" t="s">
        <v>82</v>
      </c>
      <c r="H710">
        <v>1</v>
      </c>
      <c r="I710">
        <v>4</v>
      </c>
      <c r="J710" t="s">
        <v>13</v>
      </c>
      <c r="K710">
        <f>world_cup_matches9[[#This Row],[Home Goals]]+world_cup_matches9[[#This Row],[Away Goals]]</f>
        <v>5</v>
      </c>
      <c r="L710" t="s">
        <v>132</v>
      </c>
      <c r="M7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0" t="b">
        <v>0</v>
      </c>
    </row>
    <row r="711" spans="1:14" x14ac:dyDescent="0.3">
      <c r="A711">
        <v>569</v>
      </c>
      <c r="B711">
        <v>1998</v>
      </c>
      <c r="C711" s="2">
        <v>35975</v>
      </c>
      <c r="D711" s="3" cm="1">
        <f t="array" ref="D7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1" t="s">
        <v>39</v>
      </c>
      <c r="F711" t="str">
        <f>IF((world_cup_matches9[[#This Row],[StageOrder]]&gt;=7),"High Pressure","Low Pressure")</f>
        <v>Low Pressure</v>
      </c>
      <c r="G711" t="s">
        <v>17</v>
      </c>
      <c r="H711">
        <v>2</v>
      </c>
      <c r="I711">
        <v>1</v>
      </c>
      <c r="J711" t="s">
        <v>9</v>
      </c>
      <c r="K711">
        <f>world_cup_matches9[[#This Row],[Home Goals]]+world_cup_matches9[[#This Row],[Away Goals]]</f>
        <v>3</v>
      </c>
      <c r="L711" t="s">
        <v>132</v>
      </c>
      <c r="M7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1" t="b">
        <v>0</v>
      </c>
    </row>
    <row r="712" spans="1:14" x14ac:dyDescent="0.3">
      <c r="A712">
        <v>570</v>
      </c>
      <c r="B712">
        <v>1998</v>
      </c>
      <c r="C712" s="2">
        <v>35975</v>
      </c>
      <c r="D712" s="3" cm="1">
        <f t="array" ref="D7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2" t="s">
        <v>39</v>
      </c>
      <c r="F712" t="str">
        <f>IF((world_cup_matches9[[#This Row],[StageOrder]]&gt;=7),"High Pressure","Low Pressure")</f>
        <v>Low Pressure</v>
      </c>
      <c r="G712" t="s">
        <v>2</v>
      </c>
      <c r="H712">
        <v>2</v>
      </c>
      <c r="I712">
        <v>1</v>
      </c>
      <c r="J712" t="s">
        <v>69</v>
      </c>
      <c r="K712">
        <f>world_cup_matches9[[#This Row],[Home Goals]]+world_cup_matches9[[#This Row],[Away Goals]]</f>
        <v>3</v>
      </c>
      <c r="L712" t="s">
        <v>132</v>
      </c>
      <c r="M7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2" t="b">
        <v>0</v>
      </c>
    </row>
    <row r="713" spans="1:14" x14ac:dyDescent="0.3">
      <c r="A713">
        <v>571</v>
      </c>
      <c r="B713">
        <v>1998</v>
      </c>
      <c r="C713" s="2">
        <v>35976</v>
      </c>
      <c r="D713" s="3" cm="1">
        <f t="array" ref="D7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3" t="s">
        <v>39</v>
      </c>
      <c r="F713" t="str">
        <f>IF((world_cup_matches9[[#This Row],[StageOrder]]&gt;=7),"High Pressure","Low Pressure")</f>
        <v>Low Pressure</v>
      </c>
      <c r="G713" t="s">
        <v>68</v>
      </c>
      <c r="H713">
        <v>0</v>
      </c>
      <c r="I713">
        <v>1</v>
      </c>
      <c r="J713" t="s">
        <v>22</v>
      </c>
      <c r="K713">
        <f>world_cup_matches9[[#This Row],[Home Goals]]+world_cup_matches9[[#This Row],[Away Goals]]</f>
        <v>1</v>
      </c>
      <c r="L713" t="s">
        <v>132</v>
      </c>
      <c r="M7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3" t="b">
        <v>0</v>
      </c>
    </row>
    <row r="714" spans="1:14" x14ac:dyDescent="0.3">
      <c r="A714">
        <v>572</v>
      </c>
      <c r="B714">
        <v>1998</v>
      </c>
      <c r="C714" s="2">
        <v>35976</v>
      </c>
      <c r="D714" s="3" cm="1">
        <f t="array" ref="D7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4" t="s">
        <v>39</v>
      </c>
      <c r="F714" t="str">
        <f>IF((world_cup_matches9[[#This Row],[StageOrder]]&gt;=7),"High Pressure","Low Pressure")</f>
        <v>Low Pressure</v>
      </c>
      <c r="G714" t="s">
        <v>7</v>
      </c>
      <c r="H714">
        <v>2</v>
      </c>
      <c r="I714">
        <v>2</v>
      </c>
      <c r="J714" t="s">
        <v>3</v>
      </c>
      <c r="K714">
        <f>world_cup_matches9[[#This Row],[Home Goals]]+world_cup_matches9[[#This Row],[Away Goals]]</f>
        <v>4</v>
      </c>
      <c r="L714" t="s">
        <v>114</v>
      </c>
      <c r="M7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14" t="b">
        <v>0</v>
      </c>
    </row>
    <row r="715" spans="1:14" x14ac:dyDescent="0.3">
      <c r="A715">
        <v>629</v>
      </c>
      <c r="B715">
        <v>2002</v>
      </c>
      <c r="C715" s="2">
        <v>37422</v>
      </c>
      <c r="D715" s="3" cm="1">
        <f t="array" ref="D7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5" t="s">
        <v>39</v>
      </c>
      <c r="F715" t="str">
        <f>IF((world_cup_matches9[[#This Row],[StageOrder]]&gt;=7),"High Pressure","Low Pressure")</f>
        <v>Low Pressure</v>
      </c>
      <c r="G715" t="s">
        <v>17</v>
      </c>
      <c r="H715">
        <v>1</v>
      </c>
      <c r="I715">
        <v>0</v>
      </c>
      <c r="J715" t="s">
        <v>65</v>
      </c>
      <c r="K715">
        <f>world_cup_matches9[[#This Row],[Home Goals]]+world_cup_matches9[[#This Row],[Away Goals]]</f>
        <v>1</v>
      </c>
      <c r="L715" t="s">
        <v>132</v>
      </c>
      <c r="M7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5" t="b">
        <v>0</v>
      </c>
    </row>
    <row r="716" spans="1:14" x14ac:dyDescent="0.3">
      <c r="A716">
        <v>630</v>
      </c>
      <c r="B716">
        <v>2002</v>
      </c>
      <c r="C716" s="2">
        <v>37422</v>
      </c>
      <c r="D716" s="3" cm="1">
        <f t="array" ref="D7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6" t="s">
        <v>39</v>
      </c>
      <c r="F716" t="str">
        <f>IF((world_cup_matches9[[#This Row],[StageOrder]]&gt;=7),"High Pressure","Low Pressure")</f>
        <v>Low Pressure</v>
      </c>
      <c r="G716" t="s">
        <v>13</v>
      </c>
      <c r="H716">
        <v>0</v>
      </c>
      <c r="I716">
        <v>3</v>
      </c>
      <c r="J716" t="s">
        <v>3</v>
      </c>
      <c r="K716">
        <f>world_cup_matches9[[#This Row],[Home Goals]]+world_cup_matches9[[#This Row],[Away Goals]]</f>
        <v>3</v>
      </c>
      <c r="L716" t="s">
        <v>132</v>
      </c>
      <c r="M7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6" t="b">
        <v>0</v>
      </c>
    </row>
    <row r="717" spans="1:14" x14ac:dyDescent="0.3">
      <c r="A717">
        <v>631</v>
      </c>
      <c r="B717">
        <v>2002</v>
      </c>
      <c r="C717" s="2">
        <v>37423</v>
      </c>
      <c r="D717" s="3" cm="1">
        <f t="array" ref="D7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7" t="s">
        <v>39</v>
      </c>
      <c r="F717" t="str">
        <f>IF((world_cup_matches9[[#This Row],[StageOrder]]&gt;=7),"High Pressure","Low Pressure")</f>
        <v>Low Pressure</v>
      </c>
      <c r="G717" t="s">
        <v>62</v>
      </c>
      <c r="H717">
        <v>1</v>
      </c>
      <c r="I717">
        <v>2</v>
      </c>
      <c r="J717" t="s">
        <v>1</v>
      </c>
      <c r="K717">
        <f>world_cup_matches9[[#This Row],[Home Goals]]+world_cup_matches9[[#This Row],[Away Goals]]</f>
        <v>3</v>
      </c>
      <c r="L717" t="s">
        <v>116</v>
      </c>
      <c r="M7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Golden goal</v>
      </c>
      <c r="N717" t="b">
        <v>0</v>
      </c>
    </row>
    <row r="718" spans="1:14" x14ac:dyDescent="0.3">
      <c r="A718">
        <v>632</v>
      </c>
      <c r="B718">
        <v>2002</v>
      </c>
      <c r="C718" s="2">
        <v>37423</v>
      </c>
      <c r="D718" s="3" cm="1">
        <f t="array" ref="D7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8" t="s">
        <v>39</v>
      </c>
      <c r="F718" t="str">
        <f>IF((world_cup_matches9[[#This Row],[StageOrder]]&gt;=7),"High Pressure","Low Pressure")</f>
        <v>Low Pressure</v>
      </c>
      <c r="G718" t="s">
        <v>15</v>
      </c>
      <c r="H718">
        <v>1</v>
      </c>
      <c r="I718">
        <v>1</v>
      </c>
      <c r="J718" t="s">
        <v>73</v>
      </c>
      <c r="K718">
        <f>world_cup_matches9[[#This Row],[Home Goals]]+world_cup_matches9[[#This Row],[Away Goals]]</f>
        <v>2</v>
      </c>
      <c r="L718" t="s">
        <v>117</v>
      </c>
      <c r="M7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18" t="b">
        <v>0</v>
      </c>
    </row>
    <row r="719" spans="1:14" x14ac:dyDescent="0.3">
      <c r="A719">
        <v>633</v>
      </c>
      <c r="B719">
        <v>2002</v>
      </c>
      <c r="C719" s="2">
        <v>37424</v>
      </c>
      <c r="D719" s="3" cm="1">
        <f t="array" ref="D7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19" t="s">
        <v>39</v>
      </c>
      <c r="F719" t="str">
        <f>IF((world_cup_matches9[[#This Row],[StageOrder]]&gt;=7),"High Pressure","Low Pressure")</f>
        <v>Low Pressure</v>
      </c>
      <c r="G719" t="s">
        <v>9</v>
      </c>
      <c r="H719">
        <v>0</v>
      </c>
      <c r="I719">
        <v>2</v>
      </c>
      <c r="J719" t="s">
        <v>5</v>
      </c>
      <c r="K719">
        <f>world_cup_matches9[[#This Row],[Home Goals]]+world_cup_matches9[[#This Row],[Away Goals]]</f>
        <v>2</v>
      </c>
      <c r="L719" t="s">
        <v>132</v>
      </c>
      <c r="M7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19" t="b">
        <v>0</v>
      </c>
    </row>
    <row r="720" spans="1:14" x14ac:dyDescent="0.3">
      <c r="A720">
        <v>634</v>
      </c>
      <c r="B720">
        <v>2002</v>
      </c>
      <c r="C720" s="2">
        <v>37424</v>
      </c>
      <c r="D720" s="3" cm="1">
        <f t="array" ref="D7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0" t="s">
        <v>39</v>
      </c>
      <c r="F720" t="str">
        <f>IF((world_cup_matches9[[#This Row],[StageOrder]]&gt;=7),"High Pressure","Low Pressure")</f>
        <v>Low Pressure</v>
      </c>
      <c r="G720" t="s">
        <v>23</v>
      </c>
      <c r="H720">
        <v>2</v>
      </c>
      <c r="I720">
        <v>0</v>
      </c>
      <c r="J720" t="s">
        <v>19</v>
      </c>
      <c r="K720">
        <f>world_cup_matches9[[#This Row],[Home Goals]]+world_cup_matches9[[#This Row],[Away Goals]]</f>
        <v>2</v>
      </c>
      <c r="L720" t="s">
        <v>132</v>
      </c>
      <c r="M7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0" t="b">
        <v>0</v>
      </c>
    </row>
    <row r="721" spans="1:14" x14ac:dyDescent="0.3">
      <c r="A721">
        <v>635</v>
      </c>
      <c r="B721">
        <v>2002</v>
      </c>
      <c r="C721" s="2">
        <v>37425</v>
      </c>
      <c r="D721" s="3" cm="1">
        <f t="array" ref="D7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1" t="s">
        <v>39</v>
      </c>
      <c r="F721" t="str">
        <f>IF((world_cup_matches9[[#This Row],[StageOrder]]&gt;=7),"High Pressure","Low Pressure")</f>
        <v>Low Pressure</v>
      </c>
      <c r="G721" t="s">
        <v>18</v>
      </c>
      <c r="H721">
        <v>0</v>
      </c>
      <c r="I721">
        <v>1</v>
      </c>
      <c r="J721" t="s">
        <v>45</v>
      </c>
      <c r="K721">
        <f>world_cup_matches9[[#This Row],[Home Goals]]+world_cup_matches9[[#This Row],[Away Goals]]</f>
        <v>1</v>
      </c>
      <c r="L721" t="s">
        <v>132</v>
      </c>
      <c r="M7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1" t="b">
        <v>1</v>
      </c>
    </row>
    <row r="722" spans="1:14" x14ac:dyDescent="0.3">
      <c r="A722">
        <v>636</v>
      </c>
      <c r="B722">
        <v>2002</v>
      </c>
      <c r="C722" s="2">
        <v>37425</v>
      </c>
      <c r="D722" s="3" cm="1">
        <f t="array" ref="D7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2" t="s">
        <v>39</v>
      </c>
      <c r="F722" t="str">
        <f>IF((world_cup_matches9[[#This Row],[StageOrder]]&gt;=7),"High Pressure","Low Pressure")</f>
        <v>Low Pressure</v>
      </c>
      <c r="G722" t="s">
        <v>30</v>
      </c>
      <c r="H722">
        <v>2</v>
      </c>
      <c r="I722">
        <v>1</v>
      </c>
      <c r="J722" t="s">
        <v>46</v>
      </c>
      <c r="K722">
        <f>world_cup_matches9[[#This Row],[Home Goals]]+world_cup_matches9[[#This Row],[Away Goals]]</f>
        <v>3</v>
      </c>
      <c r="L722" t="s">
        <v>116</v>
      </c>
      <c r="M7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Golden goal</v>
      </c>
      <c r="N722" t="b">
        <v>1</v>
      </c>
    </row>
    <row r="723" spans="1:14" x14ac:dyDescent="0.3">
      <c r="A723">
        <v>693</v>
      </c>
      <c r="B723">
        <v>2006</v>
      </c>
      <c r="C723" s="2">
        <v>38892</v>
      </c>
      <c r="D723" s="3" cm="1">
        <f t="array" ref="D7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3" t="s">
        <v>39</v>
      </c>
      <c r="F723" t="str">
        <f>IF((world_cup_matches9[[#This Row],[StageOrder]]&gt;=7),"High Pressure","Low Pressure")</f>
        <v>Low Pressure</v>
      </c>
      <c r="G723" t="s">
        <v>17</v>
      </c>
      <c r="H723">
        <v>2</v>
      </c>
      <c r="I723">
        <v>0</v>
      </c>
      <c r="J723" t="s">
        <v>62</v>
      </c>
      <c r="K723">
        <f>world_cup_matches9[[#This Row],[Home Goals]]+world_cup_matches9[[#This Row],[Away Goals]]</f>
        <v>2</v>
      </c>
      <c r="L723" t="s">
        <v>132</v>
      </c>
      <c r="M7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3" t="b">
        <v>1</v>
      </c>
    </row>
    <row r="724" spans="1:14" x14ac:dyDescent="0.3">
      <c r="A724">
        <v>694</v>
      </c>
      <c r="B724">
        <v>2006</v>
      </c>
      <c r="C724" s="2">
        <v>38892</v>
      </c>
      <c r="D724" s="3" cm="1">
        <f t="array" ref="D7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4" t="s">
        <v>39</v>
      </c>
      <c r="F724" t="str">
        <f>IF((world_cup_matches9[[#This Row],[StageOrder]]&gt;=7),"High Pressure","Low Pressure")</f>
        <v>Low Pressure</v>
      </c>
      <c r="G724" t="s">
        <v>7</v>
      </c>
      <c r="H724">
        <v>2</v>
      </c>
      <c r="I724">
        <v>1</v>
      </c>
      <c r="J724" t="s">
        <v>9</v>
      </c>
      <c r="K724">
        <f>world_cup_matches9[[#This Row],[Home Goals]]+world_cup_matches9[[#This Row],[Away Goals]]</f>
        <v>3</v>
      </c>
      <c r="L724" t="s">
        <v>97</v>
      </c>
      <c r="M7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24" t="b">
        <v>0</v>
      </c>
    </row>
    <row r="725" spans="1:14" x14ac:dyDescent="0.3">
      <c r="A725">
        <v>695</v>
      </c>
      <c r="B725">
        <v>2006</v>
      </c>
      <c r="C725" s="2">
        <v>38893</v>
      </c>
      <c r="D725" s="3" cm="1">
        <f t="array" ref="D7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5" t="s">
        <v>39</v>
      </c>
      <c r="F725" t="str">
        <f>IF((world_cup_matches9[[#This Row],[StageOrder]]&gt;=7),"High Pressure","Low Pressure")</f>
        <v>Low Pressure</v>
      </c>
      <c r="G725" t="s">
        <v>3</v>
      </c>
      <c r="H725">
        <v>1</v>
      </c>
      <c r="I725">
        <v>0</v>
      </c>
      <c r="J725" t="s">
        <v>0</v>
      </c>
      <c r="K725">
        <f>world_cup_matches9[[#This Row],[Home Goals]]+world_cup_matches9[[#This Row],[Away Goals]]</f>
        <v>1</v>
      </c>
      <c r="L725" t="s">
        <v>132</v>
      </c>
      <c r="M7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5" t="b">
        <v>0</v>
      </c>
    </row>
    <row r="726" spans="1:14" x14ac:dyDescent="0.3">
      <c r="A726">
        <v>696</v>
      </c>
      <c r="B726">
        <v>2006</v>
      </c>
      <c r="C726" s="2">
        <v>38893</v>
      </c>
      <c r="D726" s="3" cm="1">
        <f t="array" ref="D7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6" t="s">
        <v>39</v>
      </c>
      <c r="F726" t="str">
        <f>IF((world_cup_matches9[[#This Row],[StageOrder]]&gt;=7),"High Pressure","Low Pressure")</f>
        <v>Low Pressure</v>
      </c>
      <c r="G726" t="s">
        <v>27</v>
      </c>
      <c r="H726">
        <v>1</v>
      </c>
      <c r="I726">
        <v>0</v>
      </c>
      <c r="J726" t="s">
        <v>2</v>
      </c>
      <c r="K726">
        <f>world_cup_matches9[[#This Row],[Home Goals]]+world_cup_matches9[[#This Row],[Away Goals]]</f>
        <v>1</v>
      </c>
      <c r="L726" t="s">
        <v>132</v>
      </c>
      <c r="M7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6" t="b">
        <v>0</v>
      </c>
    </row>
    <row r="727" spans="1:14" x14ac:dyDescent="0.3">
      <c r="A727">
        <v>697</v>
      </c>
      <c r="B727">
        <v>2006</v>
      </c>
      <c r="C727" s="2">
        <v>38894</v>
      </c>
      <c r="D727" s="3" cm="1">
        <f t="array" ref="D7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7" t="s">
        <v>39</v>
      </c>
      <c r="F727" t="str">
        <f>IF((world_cup_matches9[[#This Row],[StageOrder]]&gt;=7),"High Pressure","Low Pressure")</f>
        <v>Low Pressure</v>
      </c>
      <c r="G727" t="s">
        <v>46</v>
      </c>
      <c r="H727">
        <v>1</v>
      </c>
      <c r="I727">
        <v>0</v>
      </c>
      <c r="J727" t="s">
        <v>12</v>
      </c>
      <c r="K727">
        <f>world_cup_matches9[[#This Row],[Home Goals]]+world_cup_matches9[[#This Row],[Away Goals]]</f>
        <v>1</v>
      </c>
      <c r="L727" t="s">
        <v>132</v>
      </c>
      <c r="M7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7" t="b">
        <v>0</v>
      </c>
    </row>
    <row r="728" spans="1:14" x14ac:dyDescent="0.3">
      <c r="A728">
        <v>698</v>
      </c>
      <c r="B728">
        <v>2006</v>
      </c>
      <c r="C728" s="2">
        <v>38894</v>
      </c>
      <c r="D728" s="3" cm="1">
        <f t="array" ref="D7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8" t="s">
        <v>39</v>
      </c>
      <c r="F728" t="str">
        <f>IF((world_cup_matches9[[#This Row],[StageOrder]]&gt;=7),"High Pressure","Low Pressure")</f>
        <v>Low Pressure</v>
      </c>
      <c r="G728" t="s">
        <v>25</v>
      </c>
      <c r="H728">
        <v>0</v>
      </c>
      <c r="I728">
        <v>0</v>
      </c>
      <c r="J728" t="s">
        <v>94</v>
      </c>
      <c r="K728">
        <f>world_cup_matches9[[#This Row],[Home Goals]]+world_cup_matches9[[#This Row],[Away Goals]]</f>
        <v>0</v>
      </c>
      <c r="L728" t="s">
        <v>119</v>
      </c>
      <c r="M7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28" t="b">
        <v>0</v>
      </c>
    </row>
    <row r="729" spans="1:14" x14ac:dyDescent="0.3">
      <c r="A729">
        <v>699</v>
      </c>
      <c r="B729">
        <v>2006</v>
      </c>
      <c r="C729" s="2">
        <v>38895</v>
      </c>
      <c r="D729" s="3" cm="1">
        <f t="array" ref="D7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29" t="s">
        <v>39</v>
      </c>
      <c r="F729" t="str">
        <f>IF((world_cup_matches9[[#This Row],[StageOrder]]&gt;=7),"High Pressure","Low Pressure")</f>
        <v>Low Pressure</v>
      </c>
      <c r="G729" t="s">
        <v>23</v>
      </c>
      <c r="H729">
        <v>3</v>
      </c>
      <c r="I729">
        <v>0</v>
      </c>
      <c r="J729" t="s">
        <v>28</v>
      </c>
      <c r="K729">
        <f>world_cup_matches9[[#This Row],[Home Goals]]+world_cup_matches9[[#This Row],[Away Goals]]</f>
        <v>3</v>
      </c>
      <c r="L729" t="s">
        <v>132</v>
      </c>
      <c r="M7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29" t="b">
        <v>0</v>
      </c>
    </row>
    <row r="730" spans="1:14" x14ac:dyDescent="0.3">
      <c r="A730">
        <v>700</v>
      </c>
      <c r="B730">
        <v>2006</v>
      </c>
      <c r="C730" s="2">
        <v>38895</v>
      </c>
      <c r="D730" s="3" cm="1">
        <f t="array" ref="D7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0" t="s">
        <v>39</v>
      </c>
      <c r="F730" t="str">
        <f>IF((world_cup_matches9[[#This Row],[StageOrder]]&gt;=7),"High Pressure","Low Pressure")</f>
        <v>Low Pressure</v>
      </c>
      <c r="G730" t="s">
        <v>15</v>
      </c>
      <c r="H730">
        <v>1</v>
      </c>
      <c r="I730">
        <v>3</v>
      </c>
      <c r="J730" t="s">
        <v>11</v>
      </c>
      <c r="K730">
        <f>world_cup_matches9[[#This Row],[Home Goals]]+world_cup_matches9[[#This Row],[Away Goals]]</f>
        <v>4</v>
      </c>
      <c r="L730" t="s">
        <v>132</v>
      </c>
      <c r="M7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0" t="b">
        <v>0</v>
      </c>
    </row>
    <row r="731" spans="1:14" x14ac:dyDescent="0.3">
      <c r="A731">
        <v>757</v>
      </c>
      <c r="B731">
        <v>2010</v>
      </c>
      <c r="C731" s="2">
        <v>40355</v>
      </c>
      <c r="D731" s="3" cm="1">
        <f t="array" ref="D7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1" t="s">
        <v>39</v>
      </c>
      <c r="F731" t="str">
        <f>IF((world_cup_matches9[[#This Row],[StageOrder]]&gt;=7),"High Pressure","Low Pressure")</f>
        <v>Low Pressure</v>
      </c>
      <c r="G731" t="s">
        <v>29</v>
      </c>
      <c r="H731">
        <v>2</v>
      </c>
      <c r="I731">
        <v>1</v>
      </c>
      <c r="J731" t="s">
        <v>30</v>
      </c>
      <c r="K731">
        <f>world_cup_matches9[[#This Row],[Home Goals]]+world_cup_matches9[[#This Row],[Away Goals]]</f>
        <v>3</v>
      </c>
      <c r="L731" t="s">
        <v>132</v>
      </c>
      <c r="M7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1" t="b">
        <v>0</v>
      </c>
    </row>
    <row r="732" spans="1:14" x14ac:dyDescent="0.3">
      <c r="A732">
        <v>758</v>
      </c>
      <c r="B732">
        <v>2010</v>
      </c>
      <c r="C732" s="2">
        <v>40355</v>
      </c>
      <c r="D732" s="3" cm="1">
        <f t="array" ref="D7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2" t="s">
        <v>39</v>
      </c>
      <c r="F732" t="str">
        <f>IF((world_cup_matches9[[#This Row],[StageOrder]]&gt;=7),"High Pressure","Low Pressure")</f>
        <v>Low Pressure</v>
      </c>
      <c r="G732" t="s">
        <v>5</v>
      </c>
      <c r="H732">
        <v>1</v>
      </c>
      <c r="I732">
        <v>2</v>
      </c>
      <c r="J732" t="s">
        <v>28</v>
      </c>
      <c r="K732">
        <f>world_cup_matches9[[#This Row],[Home Goals]]+world_cup_matches9[[#This Row],[Away Goals]]</f>
        <v>3</v>
      </c>
      <c r="L732" t="s">
        <v>97</v>
      </c>
      <c r="M7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32" t="b">
        <v>0</v>
      </c>
    </row>
    <row r="733" spans="1:14" x14ac:dyDescent="0.3">
      <c r="A733">
        <v>759</v>
      </c>
      <c r="B733">
        <v>2010</v>
      </c>
      <c r="C733" s="2">
        <v>40356</v>
      </c>
      <c r="D733" s="3" cm="1">
        <f t="array" ref="D7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3" t="s">
        <v>39</v>
      </c>
      <c r="F733" t="str">
        <f>IF((world_cup_matches9[[#This Row],[StageOrder]]&gt;=7),"High Pressure","Low Pressure")</f>
        <v>Low Pressure</v>
      </c>
      <c r="G733" t="s">
        <v>17</v>
      </c>
      <c r="H733">
        <v>4</v>
      </c>
      <c r="I733">
        <v>1</v>
      </c>
      <c r="J733" t="s">
        <v>3</v>
      </c>
      <c r="K733">
        <f>world_cup_matches9[[#This Row],[Home Goals]]+world_cup_matches9[[#This Row],[Away Goals]]</f>
        <v>5</v>
      </c>
      <c r="L733" t="s">
        <v>132</v>
      </c>
      <c r="M7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3" t="b">
        <v>0</v>
      </c>
    </row>
    <row r="734" spans="1:14" x14ac:dyDescent="0.3">
      <c r="A734">
        <v>760</v>
      </c>
      <c r="B734">
        <v>2010</v>
      </c>
      <c r="C734" s="2">
        <v>40356</v>
      </c>
      <c r="D734" s="3" cm="1">
        <f t="array" ref="D7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4" t="s">
        <v>39</v>
      </c>
      <c r="F734" t="str">
        <f>IF((world_cup_matches9[[#This Row],[StageOrder]]&gt;=7),"High Pressure","Low Pressure")</f>
        <v>Low Pressure</v>
      </c>
      <c r="G734" t="s">
        <v>7</v>
      </c>
      <c r="H734">
        <v>3</v>
      </c>
      <c r="I734">
        <v>1</v>
      </c>
      <c r="J734" t="s">
        <v>9</v>
      </c>
      <c r="K734">
        <f>world_cup_matches9[[#This Row],[Home Goals]]+world_cup_matches9[[#This Row],[Away Goals]]</f>
        <v>4</v>
      </c>
      <c r="L734" t="s">
        <v>132</v>
      </c>
      <c r="M7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4" t="b">
        <v>0</v>
      </c>
    </row>
    <row r="735" spans="1:14" x14ac:dyDescent="0.3">
      <c r="A735">
        <v>761</v>
      </c>
      <c r="B735">
        <v>2010</v>
      </c>
      <c r="C735" s="2">
        <v>40357</v>
      </c>
      <c r="D735" s="3" cm="1">
        <f t="array" ref="D7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5" t="s">
        <v>39</v>
      </c>
      <c r="F735" t="str">
        <f>IF((world_cup_matches9[[#This Row],[StageOrder]]&gt;=7),"High Pressure","Low Pressure")</f>
        <v>Low Pressure</v>
      </c>
      <c r="G735" t="s">
        <v>2</v>
      </c>
      <c r="H735">
        <v>2</v>
      </c>
      <c r="I735">
        <v>1</v>
      </c>
      <c r="J735" t="s">
        <v>77</v>
      </c>
      <c r="K735">
        <f>world_cup_matches9[[#This Row],[Home Goals]]+world_cup_matches9[[#This Row],[Away Goals]]</f>
        <v>3</v>
      </c>
      <c r="L735" t="s">
        <v>132</v>
      </c>
      <c r="M7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5" t="b">
        <v>0</v>
      </c>
    </row>
    <row r="736" spans="1:14" x14ac:dyDescent="0.3">
      <c r="A736">
        <v>762</v>
      </c>
      <c r="B736">
        <v>2010</v>
      </c>
      <c r="C736" s="2">
        <v>40357</v>
      </c>
      <c r="D736" s="3" cm="1">
        <f t="array" ref="D7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6" t="s">
        <v>39</v>
      </c>
      <c r="F736" t="str">
        <f>IF((world_cup_matches9[[#This Row],[StageOrder]]&gt;=7),"High Pressure","Low Pressure")</f>
        <v>Low Pressure</v>
      </c>
      <c r="G736" t="s">
        <v>23</v>
      </c>
      <c r="H736">
        <v>3</v>
      </c>
      <c r="I736">
        <v>0</v>
      </c>
      <c r="J736" t="s">
        <v>63</v>
      </c>
      <c r="K736">
        <f>world_cup_matches9[[#This Row],[Home Goals]]+world_cup_matches9[[#This Row],[Away Goals]]</f>
        <v>3</v>
      </c>
      <c r="L736" t="s">
        <v>132</v>
      </c>
      <c r="M7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6" t="b">
        <v>0</v>
      </c>
    </row>
    <row r="737" spans="1:14" x14ac:dyDescent="0.3">
      <c r="A737">
        <v>763</v>
      </c>
      <c r="B737">
        <v>2010</v>
      </c>
      <c r="C737" s="2">
        <v>40358</v>
      </c>
      <c r="D737" s="3" cm="1">
        <f t="array" ref="D7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7" t="s">
        <v>39</v>
      </c>
      <c r="F737" t="str">
        <f>IF((world_cup_matches9[[#This Row],[StageOrder]]&gt;=7),"High Pressure","Low Pressure")</f>
        <v>Low Pressure</v>
      </c>
      <c r="G737" t="s">
        <v>65</v>
      </c>
      <c r="H737">
        <v>0</v>
      </c>
      <c r="I737">
        <v>0</v>
      </c>
      <c r="J737" t="s">
        <v>18</v>
      </c>
      <c r="K737">
        <f>world_cup_matches9[[#This Row],[Home Goals]]+world_cup_matches9[[#This Row],[Away Goals]]</f>
        <v>0</v>
      </c>
      <c r="L737" t="s">
        <v>123</v>
      </c>
      <c r="M7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37" t="b">
        <v>0</v>
      </c>
    </row>
    <row r="738" spans="1:14" x14ac:dyDescent="0.3">
      <c r="A738">
        <v>764</v>
      </c>
      <c r="B738">
        <v>2010</v>
      </c>
      <c r="C738" s="2">
        <v>40358</v>
      </c>
      <c r="D738" s="3" cm="1">
        <f t="array" ref="D7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8" t="s">
        <v>39</v>
      </c>
      <c r="F738" t="str">
        <f>IF((world_cup_matches9[[#This Row],[StageOrder]]&gt;=7),"High Pressure","Low Pressure")</f>
        <v>Low Pressure</v>
      </c>
      <c r="G738" t="s">
        <v>15</v>
      </c>
      <c r="H738">
        <v>1</v>
      </c>
      <c r="I738">
        <v>0</v>
      </c>
      <c r="J738" t="s">
        <v>27</v>
      </c>
      <c r="K738">
        <f>world_cup_matches9[[#This Row],[Home Goals]]+world_cup_matches9[[#This Row],[Away Goals]]</f>
        <v>1</v>
      </c>
      <c r="L738" t="s">
        <v>132</v>
      </c>
      <c r="M7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38" t="b">
        <v>0</v>
      </c>
    </row>
    <row r="739" spans="1:14" x14ac:dyDescent="0.3">
      <c r="A739">
        <v>821</v>
      </c>
      <c r="B739">
        <v>2014</v>
      </c>
      <c r="C739" s="2">
        <v>41818</v>
      </c>
      <c r="D739" s="3" cm="1">
        <f t="array" ref="D7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39" t="s">
        <v>39</v>
      </c>
      <c r="F739" t="str">
        <f>IF((world_cup_matches9[[#This Row],[StageOrder]]&gt;=7),"High Pressure","Low Pressure")</f>
        <v>Low Pressure</v>
      </c>
      <c r="G739" t="s">
        <v>23</v>
      </c>
      <c r="H739">
        <v>1</v>
      </c>
      <c r="I739">
        <v>1</v>
      </c>
      <c r="J739" t="s">
        <v>63</v>
      </c>
      <c r="K739">
        <f>world_cup_matches9[[#This Row],[Home Goals]]+world_cup_matches9[[#This Row],[Away Goals]]</f>
        <v>2</v>
      </c>
      <c r="L739" t="s">
        <v>113</v>
      </c>
      <c r="M7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39" t="b">
        <v>1</v>
      </c>
    </row>
    <row r="740" spans="1:14" x14ac:dyDescent="0.3">
      <c r="A740">
        <v>822</v>
      </c>
      <c r="B740">
        <v>2014</v>
      </c>
      <c r="C740" s="2">
        <v>41818</v>
      </c>
      <c r="D740" s="3" cm="1">
        <f t="array" ref="D7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0" t="s">
        <v>39</v>
      </c>
      <c r="F740" t="str">
        <f>IF((world_cup_matches9[[#This Row],[StageOrder]]&gt;=7),"High Pressure","Low Pressure")</f>
        <v>Low Pressure</v>
      </c>
      <c r="G740" t="s">
        <v>53</v>
      </c>
      <c r="H740">
        <v>2</v>
      </c>
      <c r="I740">
        <v>0</v>
      </c>
      <c r="J740" t="s">
        <v>29</v>
      </c>
      <c r="K740">
        <f>world_cup_matches9[[#This Row],[Home Goals]]+world_cup_matches9[[#This Row],[Away Goals]]</f>
        <v>2</v>
      </c>
      <c r="L740" t="s">
        <v>132</v>
      </c>
      <c r="M7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40" t="b">
        <v>0</v>
      </c>
    </row>
    <row r="741" spans="1:14" x14ac:dyDescent="0.3">
      <c r="A741">
        <v>823</v>
      </c>
      <c r="B741">
        <v>2014</v>
      </c>
      <c r="C741" s="2">
        <v>41819</v>
      </c>
      <c r="D741" s="3" cm="1">
        <f t="array" ref="D7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1" t="s">
        <v>39</v>
      </c>
      <c r="F741" t="str">
        <f>IF((world_cup_matches9[[#This Row],[StageOrder]]&gt;=7),"High Pressure","Low Pressure")</f>
        <v>Low Pressure</v>
      </c>
      <c r="G741" t="s">
        <v>2</v>
      </c>
      <c r="H741">
        <v>2</v>
      </c>
      <c r="I741">
        <v>1</v>
      </c>
      <c r="J741" t="s">
        <v>9</v>
      </c>
      <c r="K741">
        <f>world_cup_matches9[[#This Row],[Home Goals]]+world_cup_matches9[[#This Row],[Away Goals]]</f>
        <v>3</v>
      </c>
      <c r="L741" t="s">
        <v>132</v>
      </c>
      <c r="M7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41" t="b">
        <v>0</v>
      </c>
    </row>
    <row r="742" spans="1:14" x14ac:dyDescent="0.3">
      <c r="A742">
        <v>824</v>
      </c>
      <c r="B742">
        <v>2014</v>
      </c>
      <c r="C742" s="2">
        <v>41819</v>
      </c>
      <c r="D742" s="3" cm="1">
        <f t="array" ref="D7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2" t="s">
        <v>39</v>
      </c>
      <c r="F742" t="str">
        <f>IF((world_cup_matches9[[#This Row],[StageOrder]]&gt;=7),"High Pressure","Low Pressure")</f>
        <v>Low Pressure</v>
      </c>
      <c r="G742" t="s">
        <v>16</v>
      </c>
      <c r="H742">
        <v>1</v>
      </c>
      <c r="I742">
        <v>1</v>
      </c>
      <c r="J742" t="s">
        <v>47</v>
      </c>
      <c r="K742">
        <f>world_cup_matches9[[#This Row],[Home Goals]]+world_cup_matches9[[#This Row],[Away Goals]]</f>
        <v>2</v>
      </c>
      <c r="L742" t="s">
        <v>125</v>
      </c>
      <c r="M7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42" t="b">
        <v>0</v>
      </c>
    </row>
    <row r="743" spans="1:14" x14ac:dyDescent="0.3">
      <c r="A743">
        <v>825</v>
      </c>
      <c r="B743">
        <v>2014</v>
      </c>
      <c r="C743" s="2">
        <v>41820</v>
      </c>
      <c r="D743" s="3" cm="1">
        <f t="array" ref="D7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3" t="s">
        <v>39</v>
      </c>
      <c r="F743" t="str">
        <f>IF((world_cup_matches9[[#This Row],[StageOrder]]&gt;=7),"High Pressure","Low Pressure")</f>
        <v>Low Pressure</v>
      </c>
      <c r="G743" t="s">
        <v>11</v>
      </c>
      <c r="H743">
        <v>2</v>
      </c>
      <c r="I743">
        <v>0</v>
      </c>
      <c r="J743" t="s">
        <v>82</v>
      </c>
      <c r="K743">
        <f>world_cup_matches9[[#This Row],[Home Goals]]+world_cup_matches9[[#This Row],[Away Goals]]</f>
        <v>2</v>
      </c>
      <c r="L743" t="s">
        <v>132</v>
      </c>
      <c r="M7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43" t="b">
        <v>0</v>
      </c>
    </row>
    <row r="744" spans="1:14" x14ac:dyDescent="0.3">
      <c r="A744">
        <v>826</v>
      </c>
      <c r="B744">
        <v>2014</v>
      </c>
      <c r="C744" s="2">
        <v>41820</v>
      </c>
      <c r="D744" s="3" cm="1">
        <f t="array" ref="D7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4" t="s">
        <v>39</v>
      </c>
      <c r="F744" t="str">
        <f>IF((world_cup_matches9[[#This Row],[StageOrder]]&gt;=7),"High Pressure","Low Pressure")</f>
        <v>Low Pressure</v>
      </c>
      <c r="G744" t="s">
        <v>17</v>
      </c>
      <c r="H744">
        <v>2</v>
      </c>
      <c r="I744">
        <v>1</v>
      </c>
      <c r="J744" t="s">
        <v>88</v>
      </c>
      <c r="K744">
        <f>world_cup_matches9[[#This Row],[Home Goals]]+world_cup_matches9[[#This Row],[Away Goals]]</f>
        <v>3</v>
      </c>
      <c r="L744" t="s">
        <v>97</v>
      </c>
      <c r="M7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44" t="b">
        <v>0</v>
      </c>
    </row>
    <row r="745" spans="1:14" x14ac:dyDescent="0.3">
      <c r="A745">
        <v>827</v>
      </c>
      <c r="B745">
        <v>2014</v>
      </c>
      <c r="C745" s="2">
        <v>41821</v>
      </c>
      <c r="D745" s="3" cm="1">
        <f t="array" ref="D7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5" t="s">
        <v>39</v>
      </c>
      <c r="F745" t="str">
        <f>IF((world_cup_matches9[[#This Row],[StageOrder]]&gt;=7),"High Pressure","Low Pressure")</f>
        <v>Low Pressure</v>
      </c>
      <c r="G745" t="s">
        <v>7</v>
      </c>
      <c r="H745">
        <v>1</v>
      </c>
      <c r="I745">
        <v>0</v>
      </c>
      <c r="J745" t="s">
        <v>25</v>
      </c>
      <c r="K745">
        <f>world_cup_matches9[[#This Row],[Home Goals]]+world_cup_matches9[[#This Row],[Away Goals]]</f>
        <v>1</v>
      </c>
      <c r="L745" t="s">
        <v>97</v>
      </c>
      <c r="M7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45" t="b">
        <v>0</v>
      </c>
    </row>
    <row r="746" spans="1:14" x14ac:dyDescent="0.3">
      <c r="A746">
        <v>828</v>
      </c>
      <c r="B746">
        <v>2014</v>
      </c>
      <c r="C746" s="2">
        <v>41821</v>
      </c>
      <c r="D746" s="3" cm="1">
        <f t="array" ref="D7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6" t="s">
        <v>39</v>
      </c>
      <c r="F746" t="str">
        <f>IF((world_cup_matches9[[#This Row],[StageOrder]]&gt;=7),"High Pressure","Low Pressure")</f>
        <v>Low Pressure</v>
      </c>
      <c r="G746" t="s">
        <v>19</v>
      </c>
      <c r="H746">
        <v>2</v>
      </c>
      <c r="I746">
        <v>1</v>
      </c>
      <c r="J746" t="s">
        <v>5</v>
      </c>
      <c r="K746">
        <f>world_cup_matches9[[#This Row],[Home Goals]]+world_cup_matches9[[#This Row],[Away Goals]]</f>
        <v>3</v>
      </c>
      <c r="L746" t="s">
        <v>97</v>
      </c>
      <c r="M7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46" t="b">
        <v>0</v>
      </c>
    </row>
    <row r="747" spans="1:14" x14ac:dyDescent="0.3">
      <c r="A747">
        <v>885</v>
      </c>
      <c r="B747">
        <v>2018</v>
      </c>
      <c r="C747" s="2">
        <v>43281</v>
      </c>
      <c r="D747" s="3" cm="1">
        <f t="array" ref="D7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7" t="s">
        <v>39</v>
      </c>
      <c r="F747" t="str">
        <f>IF((world_cup_matches9[[#This Row],[StageOrder]]&gt;=7),"High Pressure","Low Pressure")</f>
        <v>Low Pressure</v>
      </c>
      <c r="G747" t="s">
        <v>11</v>
      </c>
      <c r="H747">
        <v>4</v>
      </c>
      <c r="I747">
        <v>3</v>
      </c>
      <c r="J747" t="s">
        <v>7</v>
      </c>
      <c r="K747">
        <f>world_cup_matches9[[#This Row],[Home Goals]]+world_cup_matches9[[#This Row],[Away Goals]]</f>
        <v>7</v>
      </c>
      <c r="L747" t="s">
        <v>132</v>
      </c>
      <c r="M7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47" t="b">
        <v>0</v>
      </c>
    </row>
    <row r="748" spans="1:14" x14ac:dyDescent="0.3">
      <c r="A748">
        <v>886</v>
      </c>
      <c r="B748">
        <v>2018</v>
      </c>
      <c r="C748" s="2">
        <v>43281</v>
      </c>
      <c r="D748" s="3" cm="1">
        <f t="array" ref="D7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8" t="s">
        <v>39</v>
      </c>
      <c r="F748" t="str">
        <f>IF((world_cup_matches9[[#This Row],[StageOrder]]&gt;=7),"High Pressure","Low Pressure")</f>
        <v>Low Pressure</v>
      </c>
      <c r="G748" t="s">
        <v>29</v>
      </c>
      <c r="H748">
        <v>2</v>
      </c>
      <c r="I748">
        <v>1</v>
      </c>
      <c r="J748" t="s">
        <v>27</v>
      </c>
      <c r="K748">
        <f>world_cup_matches9[[#This Row],[Home Goals]]+world_cup_matches9[[#This Row],[Away Goals]]</f>
        <v>3</v>
      </c>
      <c r="L748" t="s">
        <v>132</v>
      </c>
      <c r="M7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48" t="b">
        <v>0</v>
      </c>
    </row>
    <row r="749" spans="1:14" x14ac:dyDescent="0.3">
      <c r="A749">
        <v>887</v>
      </c>
      <c r="B749">
        <v>2018</v>
      </c>
      <c r="C749" s="2">
        <v>43282</v>
      </c>
      <c r="D749" s="3" cm="1">
        <f t="array" ref="D7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49" t="s">
        <v>39</v>
      </c>
      <c r="F749" t="str">
        <f>IF((world_cup_matches9[[#This Row],[StageOrder]]&gt;=7),"High Pressure","Low Pressure")</f>
        <v>Low Pressure</v>
      </c>
      <c r="G749" t="s">
        <v>54</v>
      </c>
      <c r="H749">
        <v>1</v>
      </c>
      <c r="I749">
        <v>1</v>
      </c>
      <c r="J749" t="s">
        <v>15</v>
      </c>
      <c r="K749">
        <f>world_cup_matches9[[#This Row],[Home Goals]]+world_cup_matches9[[#This Row],[Away Goals]]</f>
        <v>2</v>
      </c>
      <c r="L749" t="s">
        <v>128</v>
      </c>
      <c r="M7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49" t="b">
        <v>1</v>
      </c>
    </row>
    <row r="750" spans="1:14" x14ac:dyDescent="0.3">
      <c r="A750">
        <v>888</v>
      </c>
      <c r="B750">
        <v>2018</v>
      </c>
      <c r="C750" s="2">
        <v>43282</v>
      </c>
      <c r="D750" s="3" cm="1">
        <f t="array" ref="D7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50" t="s">
        <v>39</v>
      </c>
      <c r="F750" t="str">
        <f>IF((world_cup_matches9[[#This Row],[StageOrder]]&gt;=7),"High Pressure","Low Pressure")</f>
        <v>Low Pressure</v>
      </c>
      <c r="G750" t="s">
        <v>22</v>
      </c>
      <c r="H750">
        <v>1</v>
      </c>
      <c r="I750">
        <v>1</v>
      </c>
      <c r="J750" t="s">
        <v>13</v>
      </c>
      <c r="K750">
        <f>world_cup_matches9[[#This Row],[Home Goals]]+world_cup_matches9[[#This Row],[Away Goals]]</f>
        <v>2</v>
      </c>
      <c r="L750" t="s">
        <v>129</v>
      </c>
      <c r="M7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50" t="b">
        <v>0</v>
      </c>
    </row>
    <row r="751" spans="1:14" x14ac:dyDescent="0.3">
      <c r="A751">
        <v>889</v>
      </c>
      <c r="B751">
        <v>2018</v>
      </c>
      <c r="C751" s="2">
        <v>43283</v>
      </c>
      <c r="D751" s="3" cm="1">
        <f t="array" ref="D7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51" t="s">
        <v>39</v>
      </c>
      <c r="F751" t="str">
        <f>IF((world_cup_matches9[[#This Row],[StageOrder]]&gt;=7),"High Pressure","Low Pressure")</f>
        <v>Low Pressure</v>
      </c>
      <c r="G751" t="s">
        <v>23</v>
      </c>
      <c r="H751">
        <v>2</v>
      </c>
      <c r="I751">
        <v>0</v>
      </c>
      <c r="J751" t="s">
        <v>9</v>
      </c>
      <c r="K751">
        <f>world_cup_matches9[[#This Row],[Home Goals]]+world_cup_matches9[[#This Row],[Away Goals]]</f>
        <v>2</v>
      </c>
      <c r="L751" t="s">
        <v>132</v>
      </c>
      <c r="M7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1" t="b">
        <v>0</v>
      </c>
    </row>
    <row r="752" spans="1:14" x14ac:dyDescent="0.3">
      <c r="A752">
        <v>890</v>
      </c>
      <c r="B752">
        <v>2018</v>
      </c>
      <c r="C752" s="2">
        <v>43283</v>
      </c>
      <c r="D752" s="3" cm="1">
        <f t="array" ref="D7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52" t="s">
        <v>39</v>
      </c>
      <c r="F752" t="str">
        <f>IF((world_cup_matches9[[#This Row],[StageOrder]]&gt;=7),"High Pressure","Low Pressure")</f>
        <v>Low Pressure</v>
      </c>
      <c r="G752" t="s">
        <v>19</v>
      </c>
      <c r="H752">
        <v>3</v>
      </c>
      <c r="I752">
        <v>2</v>
      </c>
      <c r="J752" t="s">
        <v>18</v>
      </c>
      <c r="K752">
        <f>world_cup_matches9[[#This Row],[Home Goals]]+world_cup_matches9[[#This Row],[Away Goals]]</f>
        <v>5</v>
      </c>
      <c r="L752" t="s">
        <v>132</v>
      </c>
      <c r="M7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2" t="b">
        <v>0</v>
      </c>
    </row>
    <row r="753" spans="1:14" x14ac:dyDescent="0.3">
      <c r="A753">
        <v>891</v>
      </c>
      <c r="B753">
        <v>2018</v>
      </c>
      <c r="C753" s="2">
        <v>43284</v>
      </c>
      <c r="D753" s="3" cm="1">
        <f t="array" ref="D7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53" t="s">
        <v>39</v>
      </c>
      <c r="F753" t="str">
        <f>IF((world_cup_matches9[[#This Row],[StageOrder]]&gt;=7),"High Pressure","Low Pressure")</f>
        <v>Low Pressure</v>
      </c>
      <c r="G753" t="s">
        <v>62</v>
      </c>
      <c r="H753">
        <v>1</v>
      </c>
      <c r="I753">
        <v>0</v>
      </c>
      <c r="J753" t="s">
        <v>25</v>
      </c>
      <c r="K753">
        <f>world_cup_matches9[[#This Row],[Home Goals]]+world_cup_matches9[[#This Row],[Away Goals]]</f>
        <v>1</v>
      </c>
      <c r="L753" t="s">
        <v>132</v>
      </c>
      <c r="M7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3" t="b">
        <v>0</v>
      </c>
    </row>
    <row r="754" spans="1:14" x14ac:dyDescent="0.3">
      <c r="A754">
        <v>892</v>
      </c>
      <c r="B754">
        <v>2018</v>
      </c>
      <c r="C754" s="2">
        <v>43284</v>
      </c>
      <c r="D754" s="3" cm="1">
        <f t="array" ref="D7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5</v>
      </c>
      <c r="E754" t="s">
        <v>39</v>
      </c>
      <c r="F754" t="str">
        <f>IF((world_cup_matches9[[#This Row],[StageOrder]]&gt;=7),"High Pressure","Low Pressure")</f>
        <v>Low Pressure</v>
      </c>
      <c r="G754" t="s">
        <v>53</v>
      </c>
      <c r="H754">
        <v>1</v>
      </c>
      <c r="I754">
        <v>1</v>
      </c>
      <c r="J754" t="s">
        <v>3</v>
      </c>
      <c r="K754">
        <f>world_cup_matches9[[#This Row],[Home Goals]]+world_cup_matches9[[#This Row],[Away Goals]]</f>
        <v>2</v>
      </c>
      <c r="L754" t="s">
        <v>130</v>
      </c>
      <c r="M7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54" t="b">
        <v>0</v>
      </c>
    </row>
    <row r="755" spans="1:14" x14ac:dyDescent="0.3">
      <c r="A755">
        <v>27</v>
      </c>
      <c r="B755">
        <v>1934</v>
      </c>
      <c r="C755" s="2">
        <v>12570</v>
      </c>
      <c r="D755" s="3" cm="1">
        <f t="array" ref="D7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55" t="s">
        <v>40</v>
      </c>
      <c r="F755" t="str">
        <f>IF((world_cup_matches9[[#This Row],[StageOrder]]&gt;=7),"High Pressure","Low Pressure")</f>
        <v>Low Pressure</v>
      </c>
      <c r="G755" t="s">
        <v>61</v>
      </c>
      <c r="H755">
        <v>3</v>
      </c>
      <c r="I755">
        <v>2</v>
      </c>
      <c r="J755" t="s">
        <v>25</v>
      </c>
      <c r="K755">
        <f>world_cup_matches9[[#This Row],[Home Goals]]+world_cup_matches9[[#This Row],[Away Goals]]</f>
        <v>5</v>
      </c>
      <c r="L755" t="s">
        <v>132</v>
      </c>
      <c r="M7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5" t="b">
        <v>0</v>
      </c>
    </row>
    <row r="756" spans="1:14" x14ac:dyDescent="0.3">
      <c r="A756">
        <v>28</v>
      </c>
      <c r="B756">
        <v>1934</v>
      </c>
      <c r="C756" s="2">
        <v>12570</v>
      </c>
      <c r="D756" s="3" cm="1">
        <f t="array" ref="D7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56" t="s">
        <v>40</v>
      </c>
      <c r="F756" t="str">
        <f>IF((world_cup_matches9[[#This Row],[StageOrder]]&gt;=7),"High Pressure","Low Pressure")</f>
        <v>Low Pressure</v>
      </c>
      <c r="G756" t="s">
        <v>17</v>
      </c>
      <c r="H756">
        <v>2</v>
      </c>
      <c r="I756">
        <v>1</v>
      </c>
      <c r="J756" t="s">
        <v>62</v>
      </c>
      <c r="K756">
        <f>world_cup_matches9[[#This Row],[Home Goals]]+world_cup_matches9[[#This Row],[Away Goals]]</f>
        <v>3</v>
      </c>
      <c r="L756" t="s">
        <v>132</v>
      </c>
      <c r="M7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6" t="b">
        <v>0</v>
      </c>
    </row>
    <row r="757" spans="1:14" x14ac:dyDescent="0.3">
      <c r="A757">
        <v>29</v>
      </c>
      <c r="B757">
        <v>1934</v>
      </c>
      <c r="C757" s="2">
        <v>12570</v>
      </c>
      <c r="D757" s="3" cm="1">
        <f t="array" ref="D7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57" t="s">
        <v>40</v>
      </c>
      <c r="F757" t="str">
        <f>IF((world_cup_matches9[[#This Row],[StageOrder]]&gt;=7),"High Pressure","Low Pressure")</f>
        <v>Low Pressure</v>
      </c>
      <c r="G757" t="s">
        <v>46</v>
      </c>
      <c r="H757">
        <v>1</v>
      </c>
      <c r="I757">
        <v>1</v>
      </c>
      <c r="J757" t="s">
        <v>15</v>
      </c>
      <c r="K757">
        <f>world_cup_matches9[[#This Row],[Home Goals]]+world_cup_matches9[[#This Row],[Away Goals]]</f>
        <v>2</v>
      </c>
      <c r="L757" t="s">
        <v>132</v>
      </c>
      <c r="M7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7" t="b">
        <v>1</v>
      </c>
    </row>
    <row r="758" spans="1:14" x14ac:dyDescent="0.3">
      <c r="A758">
        <v>30</v>
      </c>
      <c r="B758">
        <v>1934</v>
      </c>
      <c r="C758" s="2">
        <v>12570</v>
      </c>
      <c r="D758" s="3" cm="1">
        <f t="array" ref="D7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58" t="s">
        <v>40</v>
      </c>
      <c r="F758" t="str">
        <f>IF((world_cup_matches9[[#This Row],[StageOrder]]&gt;=7),"High Pressure","Low Pressure")</f>
        <v>Low Pressure</v>
      </c>
      <c r="G758" t="s">
        <v>55</v>
      </c>
      <c r="H758">
        <v>2</v>
      </c>
      <c r="I758">
        <v>1</v>
      </c>
      <c r="J758" t="s">
        <v>52</v>
      </c>
      <c r="K758">
        <f>world_cup_matches9[[#This Row],[Home Goals]]+world_cup_matches9[[#This Row],[Away Goals]]</f>
        <v>3</v>
      </c>
      <c r="L758" t="s">
        <v>132</v>
      </c>
      <c r="M7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8" t="b">
        <v>0</v>
      </c>
    </row>
    <row r="759" spans="1:14" x14ac:dyDescent="0.3">
      <c r="A759">
        <v>31</v>
      </c>
      <c r="B759">
        <v>1934</v>
      </c>
      <c r="C759" s="2">
        <v>12571</v>
      </c>
      <c r="D759" s="3" cm="1">
        <f t="array" ref="D7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59" t="s">
        <v>40</v>
      </c>
      <c r="F759" t="str">
        <f>IF((world_cup_matches9[[#This Row],[StageOrder]]&gt;=7),"High Pressure","Low Pressure")</f>
        <v>Low Pressure</v>
      </c>
      <c r="G759" t="s">
        <v>46</v>
      </c>
      <c r="H759">
        <v>1</v>
      </c>
      <c r="I759">
        <v>0</v>
      </c>
      <c r="J759" t="s">
        <v>15</v>
      </c>
      <c r="K759">
        <f>world_cup_matches9[[#This Row],[Home Goals]]+world_cup_matches9[[#This Row],[Away Goals]]</f>
        <v>1</v>
      </c>
      <c r="L759" t="s">
        <v>132</v>
      </c>
      <c r="M7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59" t="b">
        <v>1</v>
      </c>
    </row>
    <row r="760" spans="1:14" x14ac:dyDescent="0.3">
      <c r="A760">
        <v>45</v>
      </c>
      <c r="B760">
        <v>1938</v>
      </c>
      <c r="C760" s="2">
        <v>14043</v>
      </c>
      <c r="D760" s="3" cm="1">
        <f t="array" ref="D7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0" t="s">
        <v>40</v>
      </c>
      <c r="F760" t="str">
        <f>IF((world_cup_matches9[[#This Row],[StageOrder]]&gt;=7),"High Pressure","Low Pressure")</f>
        <v>Low Pressure</v>
      </c>
      <c r="G760" t="s">
        <v>23</v>
      </c>
      <c r="H760">
        <v>1</v>
      </c>
      <c r="I760">
        <v>1</v>
      </c>
      <c r="J760" t="s">
        <v>61</v>
      </c>
      <c r="K760">
        <f>world_cup_matches9[[#This Row],[Home Goals]]+world_cup_matches9[[#This Row],[Away Goals]]</f>
        <v>2</v>
      </c>
      <c r="L760" t="s">
        <v>132</v>
      </c>
      <c r="M7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0" t="b">
        <v>0</v>
      </c>
    </row>
    <row r="761" spans="1:14" x14ac:dyDescent="0.3">
      <c r="A761">
        <v>46</v>
      </c>
      <c r="B761">
        <v>1938</v>
      </c>
      <c r="C761" s="2">
        <v>14043</v>
      </c>
      <c r="D761" s="3" cm="1">
        <f t="array" ref="D7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1" t="s">
        <v>40</v>
      </c>
      <c r="F761" t="str">
        <f>IF((world_cup_matches9[[#This Row],[StageOrder]]&gt;=7),"High Pressure","Low Pressure")</f>
        <v>Low Pressure</v>
      </c>
      <c r="G761" t="s">
        <v>52</v>
      </c>
      <c r="H761">
        <v>2</v>
      </c>
      <c r="I761">
        <v>0</v>
      </c>
      <c r="J761" t="s">
        <v>25</v>
      </c>
      <c r="K761">
        <f>world_cup_matches9[[#This Row],[Home Goals]]+world_cup_matches9[[#This Row],[Away Goals]]</f>
        <v>2</v>
      </c>
      <c r="L761" t="s">
        <v>132</v>
      </c>
      <c r="M7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1" t="b">
        <v>0</v>
      </c>
    </row>
    <row r="762" spans="1:14" x14ac:dyDescent="0.3">
      <c r="A762">
        <v>47</v>
      </c>
      <c r="B762">
        <v>1938</v>
      </c>
      <c r="C762" s="2">
        <v>14043</v>
      </c>
      <c r="D762" s="3" cm="1">
        <f t="array" ref="D7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2" t="s">
        <v>40</v>
      </c>
      <c r="F762" t="str">
        <f>IF((world_cup_matches9[[#This Row],[StageOrder]]&gt;=7),"High Pressure","Low Pressure")</f>
        <v>Low Pressure</v>
      </c>
      <c r="G762" t="s">
        <v>62</v>
      </c>
      <c r="H762">
        <v>8</v>
      </c>
      <c r="I762">
        <v>0</v>
      </c>
      <c r="J762" t="s">
        <v>75</v>
      </c>
      <c r="K762">
        <f>world_cup_matches9[[#This Row],[Home Goals]]+world_cup_matches9[[#This Row],[Away Goals]]</f>
        <v>8</v>
      </c>
      <c r="L762" t="s">
        <v>132</v>
      </c>
      <c r="M7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2" t="b">
        <v>0</v>
      </c>
    </row>
    <row r="763" spans="1:14" x14ac:dyDescent="0.3">
      <c r="A763">
        <v>48</v>
      </c>
      <c r="B763">
        <v>1938</v>
      </c>
      <c r="C763" s="2">
        <v>14043</v>
      </c>
      <c r="D763" s="3" cm="1">
        <f t="array" ref="D7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3" t="s">
        <v>40</v>
      </c>
      <c r="F763" t="str">
        <f>IF((world_cup_matches9[[#This Row],[StageOrder]]&gt;=7),"High Pressure","Low Pressure")</f>
        <v>Low Pressure</v>
      </c>
      <c r="G763" t="s">
        <v>11</v>
      </c>
      <c r="H763">
        <v>1</v>
      </c>
      <c r="I763">
        <v>3</v>
      </c>
      <c r="J763" t="s">
        <v>46</v>
      </c>
      <c r="K763">
        <f>world_cup_matches9[[#This Row],[Home Goals]]+world_cup_matches9[[#This Row],[Away Goals]]</f>
        <v>4</v>
      </c>
      <c r="L763" t="s">
        <v>132</v>
      </c>
      <c r="M7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3" t="b">
        <v>1</v>
      </c>
    </row>
    <row r="764" spans="1:14" x14ac:dyDescent="0.3">
      <c r="A764">
        <v>49</v>
      </c>
      <c r="B764">
        <v>1938</v>
      </c>
      <c r="C764" s="2">
        <v>14045</v>
      </c>
      <c r="D764" s="3" cm="1">
        <f t="array" ref="D7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4" t="s">
        <v>40</v>
      </c>
      <c r="F764" t="str">
        <f>IF((world_cup_matches9[[#This Row],[StageOrder]]&gt;=7),"High Pressure","Low Pressure")</f>
        <v>Low Pressure</v>
      </c>
      <c r="G764" t="s">
        <v>23</v>
      </c>
      <c r="H764">
        <v>2</v>
      </c>
      <c r="I764">
        <v>1</v>
      </c>
      <c r="J764" t="s">
        <v>61</v>
      </c>
      <c r="K764">
        <f>world_cup_matches9[[#This Row],[Home Goals]]+world_cup_matches9[[#This Row],[Away Goals]]</f>
        <v>3</v>
      </c>
      <c r="L764" t="s">
        <v>132</v>
      </c>
      <c r="M7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4" t="b">
        <v>0</v>
      </c>
    </row>
    <row r="765" spans="1:14" x14ac:dyDescent="0.3">
      <c r="A765">
        <v>94</v>
      </c>
      <c r="B765">
        <v>1954</v>
      </c>
      <c r="C765" s="2">
        <v>19901</v>
      </c>
      <c r="D765" s="3" cm="1">
        <f t="array" ref="D7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5" t="s">
        <v>40</v>
      </c>
      <c r="F765" t="str">
        <f>IF((world_cup_matches9[[#This Row],[StageOrder]]&gt;=7),"High Pressure","Low Pressure")</f>
        <v>Low Pressure</v>
      </c>
      <c r="G765" t="s">
        <v>29</v>
      </c>
      <c r="H765">
        <v>4</v>
      </c>
      <c r="I765">
        <v>2</v>
      </c>
      <c r="J765" t="s">
        <v>3</v>
      </c>
      <c r="K765">
        <f>world_cup_matches9[[#This Row],[Home Goals]]+world_cup_matches9[[#This Row],[Away Goals]]</f>
        <v>6</v>
      </c>
      <c r="L765" t="s">
        <v>132</v>
      </c>
      <c r="M7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5" t="b">
        <v>0</v>
      </c>
    </row>
    <row r="766" spans="1:14" x14ac:dyDescent="0.3">
      <c r="A766">
        <v>95</v>
      </c>
      <c r="B766">
        <v>1954</v>
      </c>
      <c r="C766" s="2">
        <v>19901</v>
      </c>
      <c r="D766" s="3" cm="1">
        <f t="array" ref="D7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6" t="s">
        <v>40</v>
      </c>
      <c r="F766" t="str">
        <f>IF((world_cup_matches9[[#This Row],[StageOrder]]&gt;=7),"High Pressure","Low Pressure")</f>
        <v>Low Pressure</v>
      </c>
      <c r="G766" t="s">
        <v>25</v>
      </c>
      <c r="H766">
        <v>5</v>
      </c>
      <c r="I766">
        <v>7</v>
      </c>
      <c r="J766" t="s">
        <v>55</v>
      </c>
      <c r="K766">
        <f>world_cup_matches9[[#This Row],[Home Goals]]+world_cup_matches9[[#This Row],[Away Goals]]</f>
        <v>12</v>
      </c>
      <c r="L766" t="s">
        <v>132</v>
      </c>
      <c r="M7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6" t="b">
        <v>1</v>
      </c>
    </row>
    <row r="767" spans="1:14" x14ac:dyDescent="0.3">
      <c r="A767">
        <v>96</v>
      </c>
      <c r="B767">
        <v>1954</v>
      </c>
      <c r="C767" s="2">
        <v>19902</v>
      </c>
      <c r="D767" s="3" cm="1">
        <f t="array" ref="D7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7" t="s">
        <v>40</v>
      </c>
      <c r="F767" t="str">
        <f>IF((world_cup_matches9[[#This Row],[StageOrder]]&gt;=7),"High Pressure","Low Pressure")</f>
        <v>Low Pressure</v>
      </c>
      <c r="G767" t="s">
        <v>17</v>
      </c>
      <c r="H767">
        <v>2</v>
      </c>
      <c r="I767">
        <v>0</v>
      </c>
      <c r="J767" t="s">
        <v>69</v>
      </c>
      <c r="K767">
        <f>world_cup_matches9[[#This Row],[Home Goals]]+world_cup_matches9[[#This Row],[Away Goals]]</f>
        <v>2</v>
      </c>
      <c r="L767" t="s">
        <v>132</v>
      </c>
      <c r="M7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7" t="b">
        <v>0</v>
      </c>
    </row>
    <row r="768" spans="1:14" x14ac:dyDescent="0.3">
      <c r="A768">
        <v>97</v>
      </c>
      <c r="B768">
        <v>1954</v>
      </c>
      <c r="C768" s="2">
        <v>19902</v>
      </c>
      <c r="D768" s="3" cm="1">
        <f t="array" ref="D7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8" t="s">
        <v>40</v>
      </c>
      <c r="F768" t="str">
        <f>IF((world_cup_matches9[[#This Row],[StageOrder]]&gt;=7),"High Pressure","Low Pressure")</f>
        <v>Low Pressure</v>
      </c>
      <c r="G768" t="s">
        <v>52</v>
      </c>
      <c r="H768">
        <v>4</v>
      </c>
      <c r="I768">
        <v>2</v>
      </c>
      <c r="J768" t="s">
        <v>23</v>
      </c>
      <c r="K768">
        <f>world_cup_matches9[[#This Row],[Home Goals]]+world_cup_matches9[[#This Row],[Away Goals]]</f>
        <v>6</v>
      </c>
      <c r="L768" t="s">
        <v>132</v>
      </c>
      <c r="M7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8" t="b">
        <v>0</v>
      </c>
    </row>
    <row r="769" spans="1:14" x14ac:dyDescent="0.3">
      <c r="A769">
        <v>129</v>
      </c>
      <c r="B769">
        <v>1958</v>
      </c>
      <c r="C769" s="2">
        <v>21355</v>
      </c>
      <c r="D769" s="3" cm="1">
        <f t="array" ref="D7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69" t="s">
        <v>40</v>
      </c>
      <c r="F769" t="str">
        <f>IF((world_cup_matches9[[#This Row],[StageOrder]]&gt;=7),"High Pressure","Low Pressure")</f>
        <v>Low Pressure</v>
      </c>
      <c r="G769" t="s">
        <v>23</v>
      </c>
      <c r="H769">
        <v>1</v>
      </c>
      <c r="I769">
        <v>0</v>
      </c>
      <c r="J769" t="s">
        <v>6</v>
      </c>
      <c r="K769">
        <f>world_cup_matches9[[#This Row],[Home Goals]]+world_cup_matches9[[#This Row],[Away Goals]]</f>
        <v>1</v>
      </c>
      <c r="L769" t="s">
        <v>132</v>
      </c>
      <c r="M7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69" t="b">
        <v>0</v>
      </c>
    </row>
    <row r="770" spans="1:14" x14ac:dyDescent="0.3">
      <c r="A770">
        <v>130</v>
      </c>
      <c r="B770">
        <v>1958</v>
      </c>
      <c r="C770" s="2">
        <v>21355</v>
      </c>
      <c r="D770" s="3" cm="1">
        <f t="array" ref="D7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0" t="s">
        <v>40</v>
      </c>
      <c r="F770" t="str">
        <f>IF((world_cup_matches9[[#This Row],[StageOrder]]&gt;=7),"High Pressure","Low Pressure")</f>
        <v>Low Pressure</v>
      </c>
      <c r="G770" t="s">
        <v>17</v>
      </c>
      <c r="H770">
        <v>1</v>
      </c>
      <c r="I770">
        <v>0</v>
      </c>
      <c r="J770" t="s">
        <v>69</v>
      </c>
      <c r="K770">
        <f>world_cup_matches9[[#This Row],[Home Goals]]+world_cup_matches9[[#This Row],[Away Goals]]</f>
        <v>1</v>
      </c>
      <c r="L770" t="s">
        <v>132</v>
      </c>
      <c r="M7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0" t="b">
        <v>0</v>
      </c>
    </row>
    <row r="771" spans="1:14" x14ac:dyDescent="0.3">
      <c r="A771">
        <v>131</v>
      </c>
      <c r="B771">
        <v>1958</v>
      </c>
      <c r="C771" s="2">
        <v>21355</v>
      </c>
      <c r="D771" s="3" cm="1">
        <f t="array" ref="D7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1" t="s">
        <v>40</v>
      </c>
      <c r="F771" t="str">
        <f>IF((world_cup_matches9[[#This Row],[StageOrder]]&gt;=7),"High Pressure","Low Pressure")</f>
        <v>Low Pressure</v>
      </c>
      <c r="G771" t="s">
        <v>62</v>
      </c>
      <c r="H771">
        <v>2</v>
      </c>
      <c r="I771">
        <v>0</v>
      </c>
      <c r="J771" t="s">
        <v>54</v>
      </c>
      <c r="K771">
        <f>world_cup_matches9[[#This Row],[Home Goals]]+world_cup_matches9[[#This Row],[Away Goals]]</f>
        <v>2</v>
      </c>
      <c r="L771" t="s">
        <v>132</v>
      </c>
      <c r="M7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1" t="b">
        <v>1</v>
      </c>
    </row>
    <row r="772" spans="1:14" x14ac:dyDescent="0.3">
      <c r="A772">
        <v>132</v>
      </c>
      <c r="B772">
        <v>1958</v>
      </c>
      <c r="C772" s="2">
        <v>21355</v>
      </c>
      <c r="D772" s="3" cm="1">
        <f t="array" ref="D7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2" t="s">
        <v>40</v>
      </c>
      <c r="F772" t="str">
        <f>IF((world_cup_matches9[[#This Row],[StageOrder]]&gt;=7),"High Pressure","Low Pressure")</f>
        <v>Low Pressure</v>
      </c>
      <c r="G772" t="s">
        <v>11</v>
      </c>
      <c r="H772">
        <v>4</v>
      </c>
      <c r="I772">
        <v>0</v>
      </c>
      <c r="J772" t="s">
        <v>60</v>
      </c>
      <c r="K772">
        <f>world_cup_matches9[[#This Row],[Home Goals]]+world_cup_matches9[[#This Row],[Away Goals]]</f>
        <v>4</v>
      </c>
      <c r="L772" t="s">
        <v>132</v>
      </c>
      <c r="M7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2" t="b">
        <v>0</v>
      </c>
    </row>
    <row r="773" spans="1:14" x14ac:dyDescent="0.3">
      <c r="A773">
        <v>161</v>
      </c>
      <c r="B773">
        <v>1962</v>
      </c>
      <c r="C773" s="2">
        <v>22807</v>
      </c>
      <c r="D773" s="3" cm="1">
        <f t="array" ref="D7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3" t="s">
        <v>40</v>
      </c>
      <c r="F773" t="str">
        <f>IF((world_cup_matches9[[#This Row],[StageOrder]]&gt;=7),"High Pressure","Low Pressure")</f>
        <v>Low Pressure</v>
      </c>
      <c r="G773" t="s">
        <v>63</v>
      </c>
      <c r="H773">
        <v>2</v>
      </c>
      <c r="I773">
        <v>1</v>
      </c>
      <c r="J773" t="s">
        <v>54</v>
      </c>
      <c r="K773">
        <f>world_cup_matches9[[#This Row],[Home Goals]]+world_cup_matches9[[#This Row],[Away Goals]]</f>
        <v>3</v>
      </c>
      <c r="L773" t="s">
        <v>132</v>
      </c>
      <c r="M7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3" t="b">
        <v>1</v>
      </c>
    </row>
    <row r="774" spans="1:14" x14ac:dyDescent="0.3">
      <c r="A774">
        <v>162</v>
      </c>
      <c r="B774">
        <v>1962</v>
      </c>
      <c r="C774" s="2">
        <v>22807</v>
      </c>
      <c r="D774" s="3" cm="1">
        <f t="array" ref="D7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4" t="s">
        <v>40</v>
      </c>
      <c r="F774" t="str">
        <f>IF((world_cup_matches9[[#This Row],[StageOrder]]&gt;=7),"High Pressure","Low Pressure")</f>
        <v>Low Pressure</v>
      </c>
      <c r="G774" t="s">
        <v>23</v>
      </c>
      <c r="H774">
        <v>3</v>
      </c>
      <c r="I774">
        <v>1</v>
      </c>
      <c r="J774" t="s">
        <v>3</v>
      </c>
      <c r="K774">
        <f>world_cup_matches9[[#This Row],[Home Goals]]+world_cup_matches9[[#This Row],[Away Goals]]</f>
        <v>4</v>
      </c>
      <c r="L774" t="s">
        <v>132</v>
      </c>
      <c r="M7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4" t="b">
        <v>0</v>
      </c>
    </row>
    <row r="775" spans="1:14" x14ac:dyDescent="0.3">
      <c r="A775">
        <v>163</v>
      </c>
      <c r="B775">
        <v>1962</v>
      </c>
      <c r="C775" s="2">
        <v>22807</v>
      </c>
      <c r="D775" s="3" cm="1">
        <f t="array" ref="D7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5" t="s">
        <v>40</v>
      </c>
      <c r="F775" t="str">
        <f>IF((world_cup_matches9[[#This Row],[StageOrder]]&gt;=7),"High Pressure","Low Pressure")</f>
        <v>Low Pressure</v>
      </c>
      <c r="G775" t="s">
        <v>61</v>
      </c>
      <c r="H775">
        <v>1</v>
      </c>
      <c r="I775">
        <v>0</v>
      </c>
      <c r="J775" t="s">
        <v>52</v>
      </c>
      <c r="K775">
        <f>world_cup_matches9[[#This Row],[Home Goals]]+world_cup_matches9[[#This Row],[Away Goals]]</f>
        <v>1</v>
      </c>
      <c r="L775" t="s">
        <v>132</v>
      </c>
      <c r="M7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5" t="b">
        <v>0</v>
      </c>
    </row>
    <row r="776" spans="1:14" x14ac:dyDescent="0.3">
      <c r="A776">
        <v>164</v>
      </c>
      <c r="B776">
        <v>1962</v>
      </c>
      <c r="C776" s="2">
        <v>22807</v>
      </c>
      <c r="D776" s="3" cm="1">
        <f t="array" ref="D7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6" t="s">
        <v>40</v>
      </c>
      <c r="F776" t="str">
        <f>IF((world_cup_matches9[[#This Row],[StageOrder]]&gt;=7),"High Pressure","Low Pressure")</f>
        <v>Low Pressure</v>
      </c>
      <c r="G776" t="s">
        <v>69</v>
      </c>
      <c r="H776">
        <v>1</v>
      </c>
      <c r="I776">
        <v>0</v>
      </c>
      <c r="J776" t="s">
        <v>17</v>
      </c>
      <c r="K776">
        <f>world_cup_matches9[[#This Row],[Home Goals]]+world_cup_matches9[[#This Row],[Away Goals]]</f>
        <v>1</v>
      </c>
      <c r="L776" t="s">
        <v>132</v>
      </c>
      <c r="M7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6" t="b">
        <v>0</v>
      </c>
    </row>
    <row r="777" spans="1:14" x14ac:dyDescent="0.3">
      <c r="A777">
        <v>193</v>
      </c>
      <c r="B777">
        <v>1966</v>
      </c>
      <c r="C777" s="2">
        <v>24311</v>
      </c>
      <c r="D777" s="3" cm="1">
        <f t="array" ref="D7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7" t="s">
        <v>40</v>
      </c>
      <c r="F777" t="str">
        <f>IF((world_cup_matches9[[#This Row],[StageOrder]]&gt;=7),"High Pressure","Low Pressure")</f>
        <v>Low Pressure</v>
      </c>
      <c r="G777" t="s">
        <v>3</v>
      </c>
      <c r="H777">
        <v>1</v>
      </c>
      <c r="I777">
        <v>0</v>
      </c>
      <c r="J777" t="s">
        <v>7</v>
      </c>
      <c r="K777">
        <f>world_cup_matches9[[#This Row],[Home Goals]]+world_cup_matches9[[#This Row],[Away Goals]]</f>
        <v>1</v>
      </c>
      <c r="L777" t="s">
        <v>132</v>
      </c>
      <c r="M7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7" t="b">
        <v>1</v>
      </c>
    </row>
    <row r="778" spans="1:14" x14ac:dyDescent="0.3">
      <c r="A778">
        <v>194</v>
      </c>
      <c r="B778">
        <v>1966</v>
      </c>
      <c r="C778" s="2">
        <v>24311</v>
      </c>
      <c r="D778" s="3" cm="1">
        <f t="array" ref="D7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8" t="s">
        <v>40</v>
      </c>
      <c r="F778" t="str">
        <f>IF((world_cup_matches9[[#This Row],[StageOrder]]&gt;=7),"High Pressure","Low Pressure")</f>
        <v>Low Pressure</v>
      </c>
      <c r="G778" t="s">
        <v>17</v>
      </c>
      <c r="H778">
        <v>4</v>
      </c>
      <c r="I778">
        <v>0</v>
      </c>
      <c r="J778" t="s">
        <v>29</v>
      </c>
      <c r="K778">
        <f>world_cup_matches9[[#This Row],[Home Goals]]+world_cup_matches9[[#This Row],[Away Goals]]</f>
        <v>4</v>
      </c>
      <c r="L778" t="s">
        <v>132</v>
      </c>
      <c r="M7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8" t="b">
        <v>0</v>
      </c>
    </row>
    <row r="779" spans="1:14" x14ac:dyDescent="0.3">
      <c r="A779">
        <v>195</v>
      </c>
      <c r="B779">
        <v>1966</v>
      </c>
      <c r="C779" s="2">
        <v>24311</v>
      </c>
      <c r="D779" s="3" cm="1">
        <f t="array" ref="D7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79" t="s">
        <v>40</v>
      </c>
      <c r="F779" t="str">
        <f>IF((world_cup_matches9[[#This Row],[StageOrder]]&gt;=7),"High Pressure","Low Pressure")</f>
        <v>Low Pressure</v>
      </c>
      <c r="G779" t="s">
        <v>54</v>
      </c>
      <c r="H779">
        <v>2</v>
      </c>
      <c r="I779">
        <v>1</v>
      </c>
      <c r="J779" t="s">
        <v>52</v>
      </c>
      <c r="K779">
        <f>world_cup_matches9[[#This Row],[Home Goals]]+world_cup_matches9[[#This Row],[Away Goals]]</f>
        <v>3</v>
      </c>
      <c r="L779" t="s">
        <v>132</v>
      </c>
      <c r="M7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79" t="b">
        <v>0</v>
      </c>
    </row>
    <row r="780" spans="1:14" x14ac:dyDescent="0.3">
      <c r="A780">
        <v>196</v>
      </c>
      <c r="B780">
        <v>1966</v>
      </c>
      <c r="C780" s="2">
        <v>24311</v>
      </c>
      <c r="D780" s="3" cm="1">
        <f t="array" ref="D7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0" t="s">
        <v>40</v>
      </c>
      <c r="F780" t="str">
        <f>IF((world_cup_matches9[[#This Row],[StageOrder]]&gt;=7),"High Pressure","Low Pressure")</f>
        <v>Low Pressure</v>
      </c>
      <c r="G780" t="s">
        <v>27</v>
      </c>
      <c r="H780">
        <v>5</v>
      </c>
      <c r="I780">
        <v>3</v>
      </c>
      <c r="J780" t="s">
        <v>91</v>
      </c>
      <c r="K780">
        <f>world_cup_matches9[[#This Row],[Home Goals]]+world_cup_matches9[[#This Row],[Away Goals]]</f>
        <v>8</v>
      </c>
      <c r="L780" t="s">
        <v>132</v>
      </c>
      <c r="M7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80" t="b">
        <v>0</v>
      </c>
    </row>
    <row r="781" spans="1:14" x14ac:dyDescent="0.3">
      <c r="A781">
        <v>225</v>
      </c>
      <c r="B781">
        <v>1970</v>
      </c>
      <c r="C781" s="2">
        <v>25733</v>
      </c>
      <c r="D781" s="3" cm="1">
        <f t="array" ref="D7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1" t="s">
        <v>40</v>
      </c>
      <c r="F781" t="str">
        <f>IF((world_cup_matches9[[#This Row],[StageOrder]]&gt;=7),"High Pressure","Low Pressure")</f>
        <v>Low Pressure</v>
      </c>
      <c r="G781" t="s">
        <v>9</v>
      </c>
      <c r="H781">
        <v>1</v>
      </c>
      <c r="I781">
        <v>4</v>
      </c>
      <c r="J781" t="s">
        <v>46</v>
      </c>
      <c r="K781">
        <f>world_cup_matches9[[#This Row],[Home Goals]]+world_cup_matches9[[#This Row],[Away Goals]]</f>
        <v>5</v>
      </c>
      <c r="L781" t="s">
        <v>132</v>
      </c>
      <c r="M7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81" t="b">
        <v>1</v>
      </c>
    </row>
    <row r="782" spans="1:14" x14ac:dyDescent="0.3">
      <c r="A782">
        <v>226</v>
      </c>
      <c r="B782">
        <v>1970</v>
      </c>
      <c r="C782" s="2">
        <v>25733</v>
      </c>
      <c r="D782" s="3" cm="1">
        <f t="array" ref="D7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2" t="s">
        <v>40</v>
      </c>
      <c r="F782" t="str">
        <f>IF((world_cup_matches9[[#This Row],[StageOrder]]&gt;=7),"High Pressure","Low Pressure")</f>
        <v>Low Pressure</v>
      </c>
      <c r="G782" t="s">
        <v>17</v>
      </c>
      <c r="H782">
        <v>3</v>
      </c>
      <c r="I782">
        <v>2</v>
      </c>
      <c r="J782" t="s">
        <v>3</v>
      </c>
      <c r="K782">
        <f>world_cup_matches9[[#This Row],[Home Goals]]+world_cup_matches9[[#This Row],[Away Goals]]</f>
        <v>5</v>
      </c>
      <c r="L782" t="s">
        <v>97</v>
      </c>
      <c r="M7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82" t="b">
        <v>0</v>
      </c>
    </row>
    <row r="783" spans="1:14" x14ac:dyDescent="0.3">
      <c r="A783">
        <v>227</v>
      </c>
      <c r="B783">
        <v>1970</v>
      </c>
      <c r="C783" s="2">
        <v>25733</v>
      </c>
      <c r="D783" s="3" cm="1">
        <f t="array" ref="D7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3" t="s">
        <v>40</v>
      </c>
      <c r="F783" t="str">
        <f>IF((world_cup_matches9[[#This Row],[StageOrder]]&gt;=7),"High Pressure","Low Pressure")</f>
        <v>Low Pressure</v>
      </c>
      <c r="G783" t="s">
        <v>23</v>
      </c>
      <c r="H783">
        <v>4</v>
      </c>
      <c r="I783">
        <v>2</v>
      </c>
      <c r="J783" t="s">
        <v>72</v>
      </c>
      <c r="K783">
        <f>world_cup_matches9[[#This Row],[Home Goals]]+world_cup_matches9[[#This Row],[Away Goals]]</f>
        <v>6</v>
      </c>
      <c r="L783" t="s">
        <v>132</v>
      </c>
      <c r="M7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83" t="b">
        <v>0</v>
      </c>
    </row>
    <row r="784" spans="1:14" x14ac:dyDescent="0.3">
      <c r="A784">
        <v>228</v>
      </c>
      <c r="B784">
        <v>1970</v>
      </c>
      <c r="C784" s="2">
        <v>25733</v>
      </c>
      <c r="D784" s="3" cm="1">
        <f t="array" ref="D7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4" t="s">
        <v>40</v>
      </c>
      <c r="F784" t="str">
        <f>IF((world_cup_matches9[[#This Row],[StageOrder]]&gt;=7),"High Pressure","Low Pressure")</f>
        <v>Low Pressure</v>
      </c>
      <c r="G784" t="s">
        <v>29</v>
      </c>
      <c r="H784">
        <v>1</v>
      </c>
      <c r="I784">
        <v>0</v>
      </c>
      <c r="J784" t="s">
        <v>54</v>
      </c>
      <c r="K784">
        <f>world_cup_matches9[[#This Row],[Home Goals]]+world_cup_matches9[[#This Row],[Away Goals]]</f>
        <v>1</v>
      </c>
      <c r="L784" t="s">
        <v>97</v>
      </c>
      <c r="M7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84" t="b">
        <v>0</v>
      </c>
    </row>
    <row r="785" spans="1:14" x14ac:dyDescent="0.3">
      <c r="A785">
        <v>405</v>
      </c>
      <c r="B785">
        <v>1986</v>
      </c>
      <c r="C785" s="2">
        <v>31584</v>
      </c>
      <c r="D785" s="3" cm="1">
        <f t="array" ref="D7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5" t="s">
        <v>40</v>
      </c>
      <c r="F785" t="str">
        <f>IF((world_cup_matches9[[#This Row],[StageOrder]]&gt;=7),"High Pressure","Low Pressure")</f>
        <v>Low Pressure</v>
      </c>
      <c r="G785" t="s">
        <v>23</v>
      </c>
      <c r="H785">
        <v>1</v>
      </c>
      <c r="I785">
        <v>1</v>
      </c>
      <c r="J785" t="s">
        <v>11</v>
      </c>
      <c r="K785">
        <f>world_cup_matches9[[#This Row],[Home Goals]]+world_cup_matches9[[#This Row],[Away Goals]]</f>
        <v>2</v>
      </c>
      <c r="L785" t="s">
        <v>104</v>
      </c>
      <c r="M7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85" t="b">
        <v>0</v>
      </c>
    </row>
    <row r="786" spans="1:14" x14ac:dyDescent="0.3">
      <c r="A786">
        <v>406</v>
      </c>
      <c r="B786">
        <v>1986</v>
      </c>
      <c r="C786" s="2">
        <v>31584</v>
      </c>
      <c r="D786" s="3" cm="1">
        <f t="array" ref="D7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6" t="s">
        <v>40</v>
      </c>
      <c r="F786" t="str">
        <f>IF((world_cup_matches9[[#This Row],[StageOrder]]&gt;=7),"High Pressure","Low Pressure")</f>
        <v>Low Pressure</v>
      </c>
      <c r="G786" t="s">
        <v>9</v>
      </c>
      <c r="H786">
        <v>0</v>
      </c>
      <c r="I786">
        <v>0</v>
      </c>
      <c r="J786" t="s">
        <v>17</v>
      </c>
      <c r="K786">
        <f>world_cup_matches9[[#This Row],[Home Goals]]+world_cup_matches9[[#This Row],[Away Goals]]</f>
        <v>0</v>
      </c>
      <c r="L786" t="s">
        <v>105</v>
      </c>
      <c r="M7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86" t="b">
        <v>1</v>
      </c>
    </row>
    <row r="787" spans="1:14" x14ac:dyDescent="0.3">
      <c r="A787">
        <v>407</v>
      </c>
      <c r="B787">
        <v>1986</v>
      </c>
      <c r="C787" s="2">
        <v>31585</v>
      </c>
      <c r="D787" s="3" cm="1">
        <f t="array" ref="D7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7" t="s">
        <v>40</v>
      </c>
      <c r="F787" t="str">
        <f>IF((world_cup_matches9[[#This Row],[StageOrder]]&gt;=7),"High Pressure","Low Pressure")</f>
        <v>Low Pressure</v>
      </c>
      <c r="G787" t="s">
        <v>7</v>
      </c>
      <c r="H787">
        <v>2</v>
      </c>
      <c r="I787">
        <v>1</v>
      </c>
      <c r="J787" t="s">
        <v>3</v>
      </c>
      <c r="K787">
        <f>world_cup_matches9[[#This Row],[Home Goals]]+world_cup_matches9[[#This Row],[Away Goals]]</f>
        <v>3</v>
      </c>
      <c r="L787" t="s">
        <v>132</v>
      </c>
      <c r="M7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87" t="b">
        <v>0</v>
      </c>
    </row>
    <row r="788" spans="1:14" x14ac:dyDescent="0.3">
      <c r="A788">
        <v>408</v>
      </c>
      <c r="B788">
        <v>1986</v>
      </c>
      <c r="C788" s="2">
        <v>31585</v>
      </c>
      <c r="D788" s="3" cm="1">
        <f t="array" ref="D7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8" t="s">
        <v>40</v>
      </c>
      <c r="F788" t="str">
        <f>IF((world_cup_matches9[[#This Row],[StageOrder]]&gt;=7),"High Pressure","Low Pressure")</f>
        <v>Low Pressure</v>
      </c>
      <c r="G788" t="s">
        <v>15</v>
      </c>
      <c r="H788">
        <v>1</v>
      </c>
      <c r="I788">
        <v>1</v>
      </c>
      <c r="J788" t="s">
        <v>19</v>
      </c>
      <c r="K788">
        <f>world_cup_matches9[[#This Row],[Home Goals]]+world_cup_matches9[[#This Row],[Away Goals]]</f>
        <v>2</v>
      </c>
      <c r="L788" t="s">
        <v>106</v>
      </c>
      <c r="M7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88" t="b">
        <v>0</v>
      </c>
    </row>
    <row r="789" spans="1:14" x14ac:dyDescent="0.3">
      <c r="A789">
        <v>457</v>
      </c>
      <c r="B789">
        <v>1990</v>
      </c>
      <c r="C789" s="2">
        <v>33054</v>
      </c>
      <c r="D789" s="3" cm="1">
        <f t="array" ref="D7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89" t="s">
        <v>40</v>
      </c>
      <c r="F789" t="str">
        <f>IF((world_cup_matches9[[#This Row],[StageOrder]]&gt;=7),"High Pressure","Low Pressure")</f>
        <v>Low Pressure</v>
      </c>
      <c r="G789" t="s">
        <v>69</v>
      </c>
      <c r="H789">
        <v>0</v>
      </c>
      <c r="I789">
        <v>0</v>
      </c>
      <c r="J789" t="s">
        <v>7</v>
      </c>
      <c r="K789">
        <f>world_cup_matches9[[#This Row],[Home Goals]]+world_cup_matches9[[#This Row],[Away Goals]]</f>
        <v>0</v>
      </c>
      <c r="L789" t="s">
        <v>108</v>
      </c>
      <c r="M7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89" t="b">
        <v>0</v>
      </c>
    </row>
    <row r="790" spans="1:14" x14ac:dyDescent="0.3">
      <c r="A790">
        <v>458</v>
      </c>
      <c r="B790">
        <v>1990</v>
      </c>
      <c r="C790" s="2">
        <v>33054</v>
      </c>
      <c r="D790" s="3" cm="1">
        <f t="array" ref="D7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0" t="s">
        <v>40</v>
      </c>
      <c r="F790" t="str">
        <f>IF((world_cup_matches9[[#This Row],[StageOrder]]&gt;=7),"High Pressure","Low Pressure")</f>
        <v>Low Pressure</v>
      </c>
      <c r="G790" t="s">
        <v>46</v>
      </c>
      <c r="H790">
        <v>1</v>
      </c>
      <c r="I790">
        <v>0</v>
      </c>
      <c r="J790" t="s">
        <v>73</v>
      </c>
      <c r="K790">
        <f>world_cup_matches9[[#This Row],[Home Goals]]+world_cup_matches9[[#This Row],[Away Goals]]</f>
        <v>1</v>
      </c>
      <c r="L790" t="s">
        <v>132</v>
      </c>
      <c r="M7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0" t="b">
        <v>1</v>
      </c>
    </row>
    <row r="791" spans="1:14" x14ac:dyDescent="0.3">
      <c r="A791">
        <v>459</v>
      </c>
      <c r="B791">
        <v>1990</v>
      </c>
      <c r="C791" s="2">
        <v>33055</v>
      </c>
      <c r="D791" s="3" cm="1">
        <f t="array" ref="D7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1" t="s">
        <v>40</v>
      </c>
      <c r="F791" t="str">
        <f>IF((world_cup_matches9[[#This Row],[StageOrder]]&gt;=7),"High Pressure","Low Pressure")</f>
        <v>Low Pressure</v>
      </c>
      <c r="G791" t="s">
        <v>17</v>
      </c>
      <c r="H791">
        <v>1</v>
      </c>
      <c r="I791">
        <v>0</v>
      </c>
      <c r="J791" t="s">
        <v>61</v>
      </c>
      <c r="K791">
        <f>world_cup_matches9[[#This Row],[Home Goals]]+world_cup_matches9[[#This Row],[Away Goals]]</f>
        <v>1</v>
      </c>
      <c r="L791" t="s">
        <v>132</v>
      </c>
      <c r="M7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1" t="b">
        <v>0</v>
      </c>
    </row>
    <row r="792" spans="1:14" x14ac:dyDescent="0.3">
      <c r="A792">
        <v>460</v>
      </c>
      <c r="B792">
        <v>1990</v>
      </c>
      <c r="C792" s="2">
        <v>33055</v>
      </c>
      <c r="D792" s="3" cm="1">
        <f t="array" ref="D7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2" t="s">
        <v>40</v>
      </c>
      <c r="F792" t="str">
        <f>IF((world_cup_matches9[[#This Row],[StageOrder]]&gt;=7),"High Pressure","Low Pressure")</f>
        <v>Low Pressure</v>
      </c>
      <c r="G792" t="s">
        <v>3</v>
      </c>
      <c r="H792">
        <v>3</v>
      </c>
      <c r="I792">
        <v>2</v>
      </c>
      <c r="J792" t="s">
        <v>26</v>
      </c>
      <c r="K792">
        <f>world_cup_matches9[[#This Row],[Home Goals]]+world_cup_matches9[[#This Row],[Away Goals]]</f>
        <v>5</v>
      </c>
      <c r="L792" t="s">
        <v>97</v>
      </c>
      <c r="M7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792" t="b">
        <v>0</v>
      </c>
    </row>
    <row r="793" spans="1:14" x14ac:dyDescent="0.3">
      <c r="A793">
        <v>509</v>
      </c>
      <c r="B793">
        <v>1994</v>
      </c>
      <c r="C793" s="2">
        <v>34524</v>
      </c>
      <c r="D793" s="3" cm="1">
        <f t="array" ref="D7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3" t="s">
        <v>40</v>
      </c>
      <c r="F793" t="str">
        <f>IF((world_cup_matches9[[#This Row],[StageOrder]]&gt;=7),"High Pressure","Low Pressure")</f>
        <v>Low Pressure</v>
      </c>
      <c r="G793" t="s">
        <v>46</v>
      </c>
      <c r="H793">
        <v>2</v>
      </c>
      <c r="I793">
        <v>1</v>
      </c>
      <c r="J793" t="s">
        <v>15</v>
      </c>
      <c r="K793">
        <f>world_cup_matches9[[#This Row],[Home Goals]]+world_cup_matches9[[#This Row],[Away Goals]]</f>
        <v>3</v>
      </c>
      <c r="L793" t="s">
        <v>132</v>
      </c>
      <c r="M7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3" t="b">
        <v>0</v>
      </c>
    </row>
    <row r="794" spans="1:14" x14ac:dyDescent="0.3">
      <c r="A794">
        <v>510</v>
      </c>
      <c r="B794">
        <v>1994</v>
      </c>
      <c r="C794" s="2">
        <v>34524</v>
      </c>
      <c r="D794" s="3" cm="1">
        <f t="array" ref="D7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4" t="s">
        <v>40</v>
      </c>
      <c r="F794" t="str">
        <f>IF((world_cup_matches9[[#This Row],[StageOrder]]&gt;=7),"High Pressure","Low Pressure")</f>
        <v>Low Pressure</v>
      </c>
      <c r="G794" t="s">
        <v>2</v>
      </c>
      <c r="H794">
        <v>2</v>
      </c>
      <c r="I794">
        <v>3</v>
      </c>
      <c r="J794" t="s">
        <v>23</v>
      </c>
      <c r="K794">
        <f>world_cup_matches9[[#This Row],[Home Goals]]+world_cup_matches9[[#This Row],[Away Goals]]</f>
        <v>5</v>
      </c>
      <c r="L794" t="s">
        <v>132</v>
      </c>
      <c r="M7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4" t="b">
        <v>0</v>
      </c>
    </row>
    <row r="795" spans="1:14" x14ac:dyDescent="0.3">
      <c r="A795">
        <v>511</v>
      </c>
      <c r="B795">
        <v>1994</v>
      </c>
      <c r="C795" s="2">
        <v>34525</v>
      </c>
      <c r="D795" s="3" cm="1">
        <f t="array" ref="D7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5" t="s">
        <v>40</v>
      </c>
      <c r="F795" t="str">
        <f>IF((world_cup_matches9[[#This Row],[StageOrder]]&gt;=7),"High Pressure","Low Pressure")</f>
        <v>Low Pressure</v>
      </c>
      <c r="G795" t="s">
        <v>74</v>
      </c>
      <c r="H795">
        <v>2</v>
      </c>
      <c r="I795">
        <v>1</v>
      </c>
      <c r="J795" t="s">
        <v>17</v>
      </c>
      <c r="K795">
        <f>world_cup_matches9[[#This Row],[Home Goals]]+world_cup_matches9[[#This Row],[Away Goals]]</f>
        <v>3</v>
      </c>
      <c r="L795" t="s">
        <v>132</v>
      </c>
      <c r="M7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5" t="b">
        <v>0</v>
      </c>
    </row>
    <row r="796" spans="1:14" x14ac:dyDescent="0.3">
      <c r="A796">
        <v>512</v>
      </c>
      <c r="B796">
        <v>1994</v>
      </c>
      <c r="C796" s="2">
        <v>34525</v>
      </c>
      <c r="D796" s="3" cm="1">
        <f t="array" ref="D7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6" t="s">
        <v>40</v>
      </c>
      <c r="F796" t="str">
        <f>IF((world_cup_matches9[[#This Row],[StageOrder]]&gt;=7),"High Pressure","Low Pressure")</f>
        <v>Low Pressure</v>
      </c>
      <c r="G796" t="s">
        <v>68</v>
      </c>
      <c r="H796">
        <v>2</v>
      </c>
      <c r="I796">
        <v>2</v>
      </c>
      <c r="J796" t="s">
        <v>62</v>
      </c>
      <c r="K796">
        <f>world_cup_matches9[[#This Row],[Home Goals]]+world_cup_matches9[[#This Row],[Away Goals]]</f>
        <v>4</v>
      </c>
      <c r="L796" t="s">
        <v>112</v>
      </c>
      <c r="M7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96" t="b">
        <v>0</v>
      </c>
    </row>
    <row r="797" spans="1:14" x14ac:dyDescent="0.3">
      <c r="A797">
        <v>573</v>
      </c>
      <c r="B797">
        <v>1998</v>
      </c>
      <c r="C797" s="2">
        <v>35979</v>
      </c>
      <c r="D797" s="3" cm="1">
        <f t="array" ref="D7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7" t="s">
        <v>40</v>
      </c>
      <c r="F797" t="str">
        <f>IF((world_cup_matches9[[#This Row],[StageOrder]]&gt;=7),"High Pressure","Low Pressure")</f>
        <v>Low Pressure</v>
      </c>
      <c r="G797" t="s">
        <v>11</v>
      </c>
      <c r="H797">
        <v>0</v>
      </c>
      <c r="I797">
        <v>0</v>
      </c>
      <c r="J797" t="s">
        <v>46</v>
      </c>
      <c r="K797">
        <f>world_cup_matches9[[#This Row],[Home Goals]]+world_cup_matches9[[#This Row],[Away Goals]]</f>
        <v>0</v>
      </c>
      <c r="L797" t="s">
        <v>104</v>
      </c>
      <c r="M7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797" t="b">
        <v>1</v>
      </c>
    </row>
    <row r="798" spans="1:14" x14ac:dyDescent="0.3">
      <c r="A798">
        <v>574</v>
      </c>
      <c r="B798">
        <v>1998</v>
      </c>
      <c r="C798" s="2">
        <v>35979</v>
      </c>
      <c r="D798" s="3" cm="1">
        <f t="array" ref="D7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8" t="s">
        <v>40</v>
      </c>
      <c r="F798" t="str">
        <f>IF((world_cup_matches9[[#This Row],[StageOrder]]&gt;=7),"High Pressure","Low Pressure")</f>
        <v>Low Pressure</v>
      </c>
      <c r="G798" t="s">
        <v>23</v>
      </c>
      <c r="H798">
        <v>3</v>
      </c>
      <c r="I798">
        <v>2</v>
      </c>
      <c r="J798" t="s">
        <v>13</v>
      </c>
      <c r="K798">
        <f>world_cup_matches9[[#This Row],[Home Goals]]+world_cup_matches9[[#This Row],[Away Goals]]</f>
        <v>5</v>
      </c>
      <c r="L798" t="s">
        <v>132</v>
      </c>
      <c r="M7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8" t="b">
        <v>0</v>
      </c>
    </row>
    <row r="799" spans="1:14" x14ac:dyDescent="0.3">
      <c r="A799">
        <v>575</v>
      </c>
      <c r="B799">
        <v>1998</v>
      </c>
      <c r="C799" s="2">
        <v>35980</v>
      </c>
      <c r="D799" s="3" cm="1">
        <f t="array" ref="D7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799" t="s">
        <v>40</v>
      </c>
      <c r="F799" t="str">
        <f>IF((world_cup_matches9[[#This Row],[StageOrder]]&gt;=7),"High Pressure","Low Pressure")</f>
        <v>Low Pressure</v>
      </c>
      <c r="G799" t="s">
        <v>2</v>
      </c>
      <c r="H799">
        <v>2</v>
      </c>
      <c r="I799">
        <v>1</v>
      </c>
      <c r="J799" t="s">
        <v>7</v>
      </c>
      <c r="K799">
        <f>world_cup_matches9[[#This Row],[Home Goals]]+world_cup_matches9[[#This Row],[Away Goals]]</f>
        <v>3</v>
      </c>
      <c r="L799" t="s">
        <v>132</v>
      </c>
      <c r="M7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799" t="b">
        <v>0</v>
      </c>
    </row>
    <row r="800" spans="1:14" x14ac:dyDescent="0.3">
      <c r="A800">
        <v>576</v>
      </c>
      <c r="B800">
        <v>1998</v>
      </c>
      <c r="C800" s="2">
        <v>35980</v>
      </c>
      <c r="D800" s="3" cm="1">
        <f t="array" ref="D8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0" t="s">
        <v>40</v>
      </c>
      <c r="F800" t="str">
        <f>IF((world_cup_matches9[[#This Row],[StageOrder]]&gt;=7),"High Pressure","Low Pressure")</f>
        <v>Low Pressure</v>
      </c>
      <c r="G800" t="s">
        <v>17</v>
      </c>
      <c r="H800">
        <v>0</v>
      </c>
      <c r="I800">
        <v>3</v>
      </c>
      <c r="J800" t="s">
        <v>22</v>
      </c>
      <c r="K800">
        <f>world_cup_matches9[[#This Row],[Home Goals]]+world_cup_matches9[[#This Row],[Away Goals]]</f>
        <v>3</v>
      </c>
      <c r="L800" t="s">
        <v>132</v>
      </c>
      <c r="M8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0" t="b">
        <v>0</v>
      </c>
    </row>
    <row r="801" spans="1:14" x14ac:dyDescent="0.3">
      <c r="A801">
        <v>637</v>
      </c>
      <c r="B801">
        <v>2002</v>
      </c>
      <c r="C801" s="2">
        <v>37428</v>
      </c>
      <c r="D801" s="3" cm="1">
        <f t="array" ref="D8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1" t="s">
        <v>40</v>
      </c>
      <c r="F801" t="str">
        <f>IF((world_cup_matches9[[#This Row],[StageOrder]]&gt;=7),"High Pressure","Low Pressure")</f>
        <v>Low Pressure</v>
      </c>
      <c r="G801" t="s">
        <v>3</v>
      </c>
      <c r="H801">
        <v>1</v>
      </c>
      <c r="I801">
        <v>2</v>
      </c>
      <c r="J801" t="s">
        <v>23</v>
      </c>
      <c r="K801">
        <f>world_cup_matches9[[#This Row],[Home Goals]]+world_cup_matches9[[#This Row],[Away Goals]]</f>
        <v>3</v>
      </c>
      <c r="L801" t="s">
        <v>132</v>
      </c>
      <c r="M8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1" t="b">
        <v>0</v>
      </c>
    </row>
    <row r="802" spans="1:14" x14ac:dyDescent="0.3">
      <c r="A802">
        <v>638</v>
      </c>
      <c r="B802">
        <v>2002</v>
      </c>
      <c r="C802" s="2">
        <v>37428</v>
      </c>
      <c r="D802" s="3" cm="1">
        <f t="array" ref="D80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2" t="s">
        <v>40</v>
      </c>
      <c r="F802" t="str">
        <f>IF((world_cup_matches9[[#This Row],[StageOrder]]&gt;=7),"High Pressure","Low Pressure")</f>
        <v>Low Pressure</v>
      </c>
      <c r="G802" t="s">
        <v>17</v>
      </c>
      <c r="H802">
        <v>1</v>
      </c>
      <c r="I802">
        <v>0</v>
      </c>
      <c r="J802" t="s">
        <v>5</v>
      </c>
      <c r="K802">
        <f>world_cup_matches9[[#This Row],[Home Goals]]+world_cup_matches9[[#This Row],[Away Goals]]</f>
        <v>1</v>
      </c>
      <c r="L802" t="s">
        <v>132</v>
      </c>
      <c r="M80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2" t="b">
        <v>0</v>
      </c>
    </row>
    <row r="803" spans="1:14" x14ac:dyDescent="0.3">
      <c r="A803">
        <v>639</v>
      </c>
      <c r="B803">
        <v>2002</v>
      </c>
      <c r="C803" s="2">
        <v>37429</v>
      </c>
      <c r="D803" s="3" cm="1">
        <f t="array" ref="D80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3" t="s">
        <v>40</v>
      </c>
      <c r="F803" t="str">
        <f>IF((world_cup_matches9[[#This Row],[StageOrder]]&gt;=7),"High Pressure","Low Pressure")</f>
        <v>Low Pressure</v>
      </c>
      <c r="G803" t="s">
        <v>30</v>
      </c>
      <c r="H803">
        <v>0</v>
      </c>
      <c r="I803">
        <v>0</v>
      </c>
      <c r="J803" t="s">
        <v>15</v>
      </c>
      <c r="K803">
        <f>world_cup_matches9[[#This Row],[Home Goals]]+world_cup_matches9[[#This Row],[Away Goals]]</f>
        <v>0</v>
      </c>
      <c r="L803" t="s">
        <v>118</v>
      </c>
      <c r="M80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03" t="b">
        <v>1</v>
      </c>
    </row>
    <row r="804" spans="1:14" x14ac:dyDescent="0.3">
      <c r="A804">
        <v>640</v>
      </c>
      <c r="B804">
        <v>2002</v>
      </c>
      <c r="C804" s="2">
        <v>37429</v>
      </c>
      <c r="D804" s="3" cm="1">
        <f t="array" ref="D80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4" t="s">
        <v>40</v>
      </c>
      <c r="F804" t="str">
        <f>IF((world_cup_matches9[[#This Row],[StageOrder]]&gt;=7),"High Pressure","Low Pressure")</f>
        <v>Low Pressure</v>
      </c>
      <c r="G804" t="s">
        <v>1</v>
      </c>
      <c r="H804">
        <v>0</v>
      </c>
      <c r="I804">
        <v>1</v>
      </c>
      <c r="J804" t="s">
        <v>45</v>
      </c>
      <c r="K804">
        <f>world_cup_matches9[[#This Row],[Home Goals]]+world_cup_matches9[[#This Row],[Away Goals]]</f>
        <v>1</v>
      </c>
      <c r="L804" t="s">
        <v>116</v>
      </c>
      <c r="M80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Golden goal</v>
      </c>
      <c r="N804" t="b">
        <v>0</v>
      </c>
    </row>
    <row r="805" spans="1:14" x14ac:dyDescent="0.3">
      <c r="A805">
        <v>701</v>
      </c>
      <c r="B805">
        <v>2006</v>
      </c>
      <c r="C805" s="2">
        <v>38898</v>
      </c>
      <c r="D805" s="3" cm="1">
        <f t="array" ref="D80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5" t="s">
        <v>40</v>
      </c>
      <c r="F805" t="str">
        <f>IF((world_cup_matches9[[#This Row],[StageOrder]]&gt;=7),"High Pressure","Low Pressure")</f>
        <v>Low Pressure</v>
      </c>
      <c r="G805" t="s">
        <v>17</v>
      </c>
      <c r="H805">
        <v>1</v>
      </c>
      <c r="I805">
        <v>1</v>
      </c>
      <c r="J805" t="s">
        <v>7</v>
      </c>
      <c r="K805">
        <f>world_cup_matches9[[#This Row],[Home Goals]]+world_cup_matches9[[#This Row],[Away Goals]]</f>
        <v>2</v>
      </c>
      <c r="L805" t="s">
        <v>120</v>
      </c>
      <c r="M80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05" t="b">
        <v>1</v>
      </c>
    </row>
    <row r="806" spans="1:14" x14ac:dyDescent="0.3">
      <c r="A806">
        <v>702</v>
      </c>
      <c r="B806">
        <v>2006</v>
      </c>
      <c r="C806" s="2">
        <v>38898</v>
      </c>
      <c r="D806" s="3" cm="1">
        <f t="array" ref="D80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6" t="s">
        <v>40</v>
      </c>
      <c r="F806" t="str">
        <f>IF((world_cup_matches9[[#This Row],[StageOrder]]&gt;=7),"High Pressure","Low Pressure")</f>
        <v>Low Pressure</v>
      </c>
      <c r="G806" t="s">
        <v>46</v>
      </c>
      <c r="H806">
        <v>3</v>
      </c>
      <c r="I806">
        <v>0</v>
      </c>
      <c r="J806" t="s">
        <v>94</v>
      </c>
      <c r="K806">
        <f>world_cup_matches9[[#This Row],[Home Goals]]+world_cup_matches9[[#This Row],[Away Goals]]</f>
        <v>3</v>
      </c>
      <c r="L806" t="s">
        <v>132</v>
      </c>
      <c r="M80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6" t="b">
        <v>0</v>
      </c>
    </row>
    <row r="807" spans="1:14" x14ac:dyDescent="0.3">
      <c r="A807">
        <v>703</v>
      </c>
      <c r="B807">
        <v>2006</v>
      </c>
      <c r="C807" s="2">
        <v>38899</v>
      </c>
      <c r="D807" s="3" cm="1">
        <f t="array" ref="D80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7" t="s">
        <v>40</v>
      </c>
      <c r="F807" t="str">
        <f>IF((world_cup_matches9[[#This Row],[StageOrder]]&gt;=7),"High Pressure","Low Pressure")</f>
        <v>Low Pressure</v>
      </c>
      <c r="G807" t="s">
        <v>3</v>
      </c>
      <c r="H807">
        <v>0</v>
      </c>
      <c r="I807">
        <v>0</v>
      </c>
      <c r="J807" t="s">
        <v>27</v>
      </c>
      <c r="K807">
        <f>world_cup_matches9[[#This Row],[Home Goals]]+world_cup_matches9[[#This Row],[Away Goals]]</f>
        <v>0</v>
      </c>
      <c r="L807" t="s">
        <v>121</v>
      </c>
      <c r="M80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07" t="b">
        <v>0</v>
      </c>
    </row>
    <row r="808" spans="1:14" x14ac:dyDescent="0.3">
      <c r="A808">
        <v>704</v>
      </c>
      <c r="B808">
        <v>2006</v>
      </c>
      <c r="C808" s="2">
        <v>38899</v>
      </c>
      <c r="D808" s="3" cm="1">
        <f t="array" ref="D80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8" t="s">
        <v>40</v>
      </c>
      <c r="F808" t="str">
        <f>IF((world_cup_matches9[[#This Row],[StageOrder]]&gt;=7),"High Pressure","Low Pressure")</f>
        <v>Low Pressure</v>
      </c>
      <c r="G808" t="s">
        <v>23</v>
      </c>
      <c r="H808">
        <v>0</v>
      </c>
      <c r="I808">
        <v>1</v>
      </c>
      <c r="J808" t="s">
        <v>11</v>
      </c>
      <c r="K808">
        <f>world_cup_matches9[[#This Row],[Home Goals]]+world_cup_matches9[[#This Row],[Away Goals]]</f>
        <v>1</v>
      </c>
      <c r="L808" t="s">
        <v>132</v>
      </c>
      <c r="M80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8" t="b">
        <v>0</v>
      </c>
    </row>
    <row r="809" spans="1:14" x14ac:dyDescent="0.3">
      <c r="A809">
        <v>765</v>
      </c>
      <c r="B809">
        <v>2010</v>
      </c>
      <c r="C809" s="2">
        <v>40361</v>
      </c>
      <c r="D809" s="3" cm="1">
        <f t="array" ref="D80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09" t="s">
        <v>40</v>
      </c>
      <c r="F809" t="str">
        <f>IF((world_cup_matches9[[#This Row],[StageOrder]]&gt;=7),"High Pressure","Low Pressure")</f>
        <v>Low Pressure</v>
      </c>
      <c r="G809" t="s">
        <v>2</v>
      </c>
      <c r="H809">
        <v>2</v>
      </c>
      <c r="I809">
        <v>1</v>
      </c>
      <c r="J809" t="s">
        <v>23</v>
      </c>
      <c r="K809">
        <f>world_cup_matches9[[#This Row],[Home Goals]]+world_cup_matches9[[#This Row],[Away Goals]]</f>
        <v>3</v>
      </c>
      <c r="L809" t="s">
        <v>132</v>
      </c>
      <c r="M80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09" t="b">
        <v>0</v>
      </c>
    </row>
    <row r="810" spans="1:14" x14ac:dyDescent="0.3">
      <c r="A810">
        <v>766</v>
      </c>
      <c r="B810">
        <v>2010</v>
      </c>
      <c r="C810" s="2">
        <v>40361</v>
      </c>
      <c r="D810" s="3" cm="1">
        <f t="array" ref="D81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0" t="s">
        <v>40</v>
      </c>
      <c r="F810" t="str">
        <f>IF((world_cup_matches9[[#This Row],[StageOrder]]&gt;=7),"High Pressure","Low Pressure")</f>
        <v>Low Pressure</v>
      </c>
      <c r="G810" t="s">
        <v>29</v>
      </c>
      <c r="H810">
        <v>1</v>
      </c>
      <c r="I810">
        <v>1</v>
      </c>
      <c r="J810" t="s">
        <v>28</v>
      </c>
      <c r="K810">
        <f>world_cup_matches9[[#This Row],[Home Goals]]+world_cup_matches9[[#This Row],[Away Goals]]</f>
        <v>2</v>
      </c>
      <c r="L810" t="s">
        <v>124</v>
      </c>
      <c r="M81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10" t="b">
        <v>0</v>
      </c>
    </row>
    <row r="811" spans="1:14" x14ac:dyDescent="0.3">
      <c r="A811">
        <v>767</v>
      </c>
      <c r="B811">
        <v>2010</v>
      </c>
      <c r="C811" s="2">
        <v>40362</v>
      </c>
      <c r="D811" s="3" cm="1">
        <f t="array" ref="D81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1" t="s">
        <v>40</v>
      </c>
      <c r="F811" t="str">
        <f>IF((world_cup_matches9[[#This Row],[StageOrder]]&gt;=7),"High Pressure","Low Pressure")</f>
        <v>Low Pressure</v>
      </c>
      <c r="G811" t="s">
        <v>7</v>
      </c>
      <c r="H811">
        <v>0</v>
      </c>
      <c r="I811">
        <v>4</v>
      </c>
      <c r="J811" t="s">
        <v>17</v>
      </c>
      <c r="K811">
        <f>world_cup_matches9[[#This Row],[Home Goals]]+world_cup_matches9[[#This Row],[Away Goals]]</f>
        <v>4</v>
      </c>
      <c r="L811" t="s">
        <v>132</v>
      </c>
      <c r="M81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1" t="b">
        <v>0</v>
      </c>
    </row>
    <row r="812" spans="1:14" x14ac:dyDescent="0.3">
      <c r="A812">
        <v>768</v>
      </c>
      <c r="B812">
        <v>2010</v>
      </c>
      <c r="C812" s="2">
        <v>40362</v>
      </c>
      <c r="D812" s="3" cm="1">
        <f t="array" ref="D81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2" t="s">
        <v>40</v>
      </c>
      <c r="F812" t="str">
        <f>IF((world_cup_matches9[[#This Row],[StageOrder]]&gt;=7),"High Pressure","Low Pressure")</f>
        <v>Low Pressure</v>
      </c>
      <c r="G812" t="s">
        <v>65</v>
      </c>
      <c r="H812">
        <v>0</v>
      </c>
      <c r="I812">
        <v>1</v>
      </c>
      <c r="J812" t="s">
        <v>15</v>
      </c>
      <c r="K812">
        <f>world_cup_matches9[[#This Row],[Home Goals]]+world_cup_matches9[[#This Row],[Away Goals]]</f>
        <v>1</v>
      </c>
      <c r="L812" t="s">
        <v>132</v>
      </c>
      <c r="M81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2" t="b">
        <v>0</v>
      </c>
    </row>
    <row r="813" spans="1:14" x14ac:dyDescent="0.3">
      <c r="A813">
        <v>829</v>
      </c>
      <c r="B813">
        <v>2014</v>
      </c>
      <c r="C813" s="2">
        <v>41824</v>
      </c>
      <c r="D813" s="3" cm="1">
        <f t="array" ref="D81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3" t="s">
        <v>40</v>
      </c>
      <c r="F813" t="str">
        <f>IF((world_cup_matches9[[#This Row],[StageOrder]]&gt;=7),"High Pressure","Low Pressure")</f>
        <v>Low Pressure</v>
      </c>
      <c r="G813" t="s">
        <v>11</v>
      </c>
      <c r="H813">
        <v>0</v>
      </c>
      <c r="I813">
        <v>1</v>
      </c>
      <c r="J813" t="s">
        <v>17</v>
      </c>
      <c r="K813">
        <f>world_cup_matches9[[#This Row],[Home Goals]]+world_cup_matches9[[#This Row],[Away Goals]]</f>
        <v>1</v>
      </c>
      <c r="L813" t="s">
        <v>132</v>
      </c>
      <c r="M81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3" t="b">
        <v>0</v>
      </c>
    </row>
    <row r="814" spans="1:14" x14ac:dyDescent="0.3">
      <c r="A814">
        <v>830</v>
      </c>
      <c r="B814">
        <v>2014</v>
      </c>
      <c r="C814" s="2">
        <v>41824</v>
      </c>
      <c r="D814" s="3" cm="1">
        <f t="array" ref="D81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4" t="s">
        <v>40</v>
      </c>
      <c r="F814" t="str">
        <f>IF((world_cup_matches9[[#This Row],[StageOrder]]&gt;=7),"High Pressure","Low Pressure")</f>
        <v>Low Pressure</v>
      </c>
      <c r="G814" t="s">
        <v>23</v>
      </c>
      <c r="H814">
        <v>2</v>
      </c>
      <c r="I814">
        <v>1</v>
      </c>
      <c r="J814" t="s">
        <v>53</v>
      </c>
      <c r="K814">
        <f>world_cup_matches9[[#This Row],[Home Goals]]+world_cup_matches9[[#This Row],[Away Goals]]</f>
        <v>3</v>
      </c>
      <c r="L814" t="s">
        <v>132</v>
      </c>
      <c r="M81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4" t="b">
        <v>1</v>
      </c>
    </row>
    <row r="815" spans="1:14" x14ac:dyDescent="0.3">
      <c r="A815">
        <v>831</v>
      </c>
      <c r="B815">
        <v>2014</v>
      </c>
      <c r="C815" s="2">
        <v>41825</v>
      </c>
      <c r="D815" s="3" cm="1">
        <f t="array" ref="D81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5" t="s">
        <v>40</v>
      </c>
      <c r="F815" t="str">
        <f>IF((world_cup_matches9[[#This Row],[StageOrder]]&gt;=7),"High Pressure","Low Pressure")</f>
        <v>Low Pressure</v>
      </c>
      <c r="G815" t="s">
        <v>7</v>
      </c>
      <c r="H815">
        <v>1</v>
      </c>
      <c r="I815">
        <v>0</v>
      </c>
      <c r="J815" t="s">
        <v>19</v>
      </c>
      <c r="K815">
        <f>world_cup_matches9[[#This Row],[Home Goals]]+world_cup_matches9[[#This Row],[Away Goals]]</f>
        <v>1</v>
      </c>
      <c r="L815" t="s">
        <v>132</v>
      </c>
      <c r="M81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5" t="b">
        <v>0</v>
      </c>
    </row>
    <row r="816" spans="1:14" x14ac:dyDescent="0.3">
      <c r="A816">
        <v>832</v>
      </c>
      <c r="B816">
        <v>2014</v>
      </c>
      <c r="C816" s="2">
        <v>41825</v>
      </c>
      <c r="D816" s="3" cm="1">
        <f t="array" ref="D81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6" t="s">
        <v>40</v>
      </c>
      <c r="F816" t="str">
        <f>IF((world_cup_matches9[[#This Row],[StageOrder]]&gt;=7),"High Pressure","Low Pressure")</f>
        <v>Low Pressure</v>
      </c>
      <c r="G816" t="s">
        <v>2</v>
      </c>
      <c r="H816">
        <v>0</v>
      </c>
      <c r="I816">
        <v>0</v>
      </c>
      <c r="J816" t="s">
        <v>16</v>
      </c>
      <c r="K816">
        <f>world_cup_matches9[[#This Row],[Home Goals]]+world_cup_matches9[[#This Row],[Away Goals]]</f>
        <v>0</v>
      </c>
      <c r="L816" t="s">
        <v>126</v>
      </c>
      <c r="M81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16" t="b">
        <v>0</v>
      </c>
    </row>
    <row r="817" spans="1:14" x14ac:dyDescent="0.3">
      <c r="A817">
        <v>893</v>
      </c>
      <c r="B817">
        <v>2018</v>
      </c>
      <c r="C817" s="2">
        <v>43287</v>
      </c>
      <c r="D817" s="3" cm="1">
        <f t="array" ref="D81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7" t="s">
        <v>40</v>
      </c>
      <c r="F817" t="str">
        <f>IF((world_cup_matches9[[#This Row],[StageOrder]]&gt;=7),"High Pressure","Low Pressure")</f>
        <v>Low Pressure</v>
      </c>
      <c r="G817" t="s">
        <v>29</v>
      </c>
      <c r="H817">
        <v>0</v>
      </c>
      <c r="I817">
        <v>2</v>
      </c>
      <c r="J817" t="s">
        <v>11</v>
      </c>
      <c r="K817">
        <f>world_cup_matches9[[#This Row],[Home Goals]]+world_cup_matches9[[#This Row],[Away Goals]]</f>
        <v>2</v>
      </c>
      <c r="L817" t="s">
        <v>132</v>
      </c>
      <c r="M81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7" t="b">
        <v>0</v>
      </c>
    </row>
    <row r="818" spans="1:14" x14ac:dyDescent="0.3">
      <c r="A818">
        <v>894</v>
      </c>
      <c r="B818">
        <v>2018</v>
      </c>
      <c r="C818" s="2">
        <v>43287</v>
      </c>
      <c r="D818" s="3" cm="1">
        <f t="array" ref="D81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8" t="s">
        <v>40</v>
      </c>
      <c r="F818" t="str">
        <f>IF((world_cup_matches9[[#This Row],[StageOrder]]&gt;=7),"High Pressure","Low Pressure")</f>
        <v>Low Pressure</v>
      </c>
      <c r="G818" t="s">
        <v>23</v>
      </c>
      <c r="H818">
        <v>1</v>
      </c>
      <c r="I818">
        <v>2</v>
      </c>
      <c r="J818" t="s">
        <v>19</v>
      </c>
      <c r="K818">
        <f>world_cup_matches9[[#This Row],[Home Goals]]+world_cup_matches9[[#This Row],[Away Goals]]</f>
        <v>3</v>
      </c>
      <c r="L818" t="s">
        <v>132</v>
      </c>
      <c r="M81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8" t="b">
        <v>0</v>
      </c>
    </row>
    <row r="819" spans="1:14" x14ac:dyDescent="0.3">
      <c r="A819">
        <v>895</v>
      </c>
      <c r="B819">
        <v>2018</v>
      </c>
      <c r="C819" s="2">
        <v>43288</v>
      </c>
      <c r="D819" s="3" cm="1">
        <f t="array" ref="D81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19" t="s">
        <v>40</v>
      </c>
      <c r="F819" t="str">
        <f>IF((world_cup_matches9[[#This Row],[StageOrder]]&gt;=7),"High Pressure","Low Pressure")</f>
        <v>Low Pressure</v>
      </c>
      <c r="G819" t="s">
        <v>62</v>
      </c>
      <c r="H819">
        <v>0</v>
      </c>
      <c r="I819">
        <v>2</v>
      </c>
      <c r="J819" t="s">
        <v>3</v>
      </c>
      <c r="K819">
        <f>world_cup_matches9[[#This Row],[Home Goals]]+world_cup_matches9[[#This Row],[Away Goals]]</f>
        <v>2</v>
      </c>
      <c r="L819" t="s">
        <v>132</v>
      </c>
      <c r="M81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19" t="b">
        <v>0</v>
      </c>
    </row>
    <row r="820" spans="1:14" x14ac:dyDescent="0.3">
      <c r="A820">
        <v>896</v>
      </c>
      <c r="B820">
        <v>2018</v>
      </c>
      <c r="C820" s="2">
        <v>43288</v>
      </c>
      <c r="D820" s="3" cm="1">
        <f t="array" ref="D82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6</v>
      </c>
      <c r="E820" t="s">
        <v>40</v>
      </c>
      <c r="F820" t="str">
        <f>IF((world_cup_matches9[[#This Row],[StageOrder]]&gt;=7),"High Pressure","Low Pressure")</f>
        <v>Low Pressure</v>
      </c>
      <c r="G820" t="s">
        <v>54</v>
      </c>
      <c r="H820">
        <v>2</v>
      </c>
      <c r="I820">
        <v>2</v>
      </c>
      <c r="J820" t="s">
        <v>22</v>
      </c>
      <c r="K820">
        <f>world_cup_matches9[[#This Row],[Home Goals]]+world_cup_matches9[[#This Row],[Away Goals]]</f>
        <v>4</v>
      </c>
      <c r="L820" t="s">
        <v>131</v>
      </c>
      <c r="M82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20" t="b">
        <v>1</v>
      </c>
    </row>
    <row r="821" spans="1:14" x14ac:dyDescent="0.3">
      <c r="A821">
        <v>16</v>
      </c>
      <c r="B821">
        <v>1930</v>
      </c>
      <c r="C821" s="2">
        <v>11165</v>
      </c>
      <c r="D821" s="3" cm="1">
        <f t="array" ref="D82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1" t="s">
        <v>41</v>
      </c>
      <c r="F821" t="str">
        <f>IF((world_cup_matches9[[#This Row],[StageOrder]]&gt;=7),"High Pressure","Low Pressure")</f>
        <v>High Pressure</v>
      </c>
      <c r="G821" t="s">
        <v>7</v>
      </c>
      <c r="H821">
        <v>6</v>
      </c>
      <c r="I821">
        <v>1</v>
      </c>
      <c r="J821" t="s">
        <v>5</v>
      </c>
      <c r="K821">
        <f>world_cup_matches9[[#This Row],[Home Goals]]+world_cup_matches9[[#This Row],[Away Goals]]</f>
        <v>7</v>
      </c>
      <c r="L821" t="s">
        <v>132</v>
      </c>
      <c r="M82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1" t="b">
        <v>0</v>
      </c>
    </row>
    <row r="822" spans="1:14" x14ac:dyDescent="0.3">
      <c r="A822">
        <v>17</v>
      </c>
      <c r="B822">
        <v>1930</v>
      </c>
      <c r="C822" s="2">
        <v>11166</v>
      </c>
      <c r="D822" s="3" cm="1">
        <f t="array" ref="D82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2" t="s">
        <v>41</v>
      </c>
      <c r="F822" t="str">
        <f>IF((world_cup_matches9[[#This Row],[StageOrder]]&gt;=7),"High Pressure","Low Pressure")</f>
        <v>High Pressure</v>
      </c>
      <c r="G822" t="s">
        <v>29</v>
      </c>
      <c r="H822">
        <v>6</v>
      </c>
      <c r="I822">
        <v>1</v>
      </c>
      <c r="J822" t="s">
        <v>69</v>
      </c>
      <c r="K822">
        <f>world_cup_matches9[[#This Row],[Home Goals]]+world_cup_matches9[[#This Row],[Away Goals]]</f>
        <v>7</v>
      </c>
      <c r="L822" t="s">
        <v>132</v>
      </c>
      <c r="M82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2" t="b">
        <v>1</v>
      </c>
    </row>
    <row r="823" spans="1:14" x14ac:dyDescent="0.3">
      <c r="A823">
        <v>32</v>
      </c>
      <c r="B823">
        <v>1934</v>
      </c>
      <c r="C823" s="2">
        <v>12573</v>
      </c>
      <c r="D823" s="3" cm="1">
        <f t="array" ref="D82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3" t="s">
        <v>41</v>
      </c>
      <c r="F823" t="str">
        <f>IF((world_cup_matches9[[#This Row],[StageOrder]]&gt;=7),"High Pressure","Low Pressure")</f>
        <v>High Pressure</v>
      </c>
      <c r="G823" t="s">
        <v>46</v>
      </c>
      <c r="H823">
        <v>1</v>
      </c>
      <c r="I823">
        <v>0</v>
      </c>
      <c r="J823" t="s">
        <v>55</v>
      </c>
      <c r="K823">
        <f>world_cup_matches9[[#This Row],[Home Goals]]+world_cup_matches9[[#This Row],[Away Goals]]</f>
        <v>1</v>
      </c>
      <c r="L823" t="s">
        <v>132</v>
      </c>
      <c r="M82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3" t="b">
        <v>1</v>
      </c>
    </row>
    <row r="824" spans="1:14" x14ac:dyDescent="0.3">
      <c r="A824">
        <v>33</v>
      </c>
      <c r="B824">
        <v>1934</v>
      </c>
      <c r="C824" s="2">
        <v>12573</v>
      </c>
      <c r="D824" s="3" cm="1">
        <f t="array" ref="D82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4" t="s">
        <v>41</v>
      </c>
      <c r="F824" t="str">
        <f>IF((world_cup_matches9[[#This Row],[StageOrder]]&gt;=7),"High Pressure","Low Pressure")</f>
        <v>High Pressure</v>
      </c>
      <c r="G824" t="s">
        <v>61</v>
      </c>
      <c r="H824">
        <v>3</v>
      </c>
      <c r="I824">
        <v>1</v>
      </c>
      <c r="J824" t="s">
        <v>17</v>
      </c>
      <c r="K824">
        <f>world_cup_matches9[[#This Row],[Home Goals]]+world_cup_matches9[[#This Row],[Away Goals]]</f>
        <v>4</v>
      </c>
      <c r="L824" t="s">
        <v>132</v>
      </c>
      <c r="M82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4" t="b">
        <v>0</v>
      </c>
    </row>
    <row r="825" spans="1:14" x14ac:dyDescent="0.3">
      <c r="A825">
        <v>50</v>
      </c>
      <c r="B825">
        <v>1938</v>
      </c>
      <c r="C825" s="2">
        <v>14047</v>
      </c>
      <c r="D825" s="3" cm="1">
        <f t="array" ref="D82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5" t="s">
        <v>41</v>
      </c>
      <c r="F825" t="str">
        <f>IF((world_cup_matches9[[#This Row],[StageOrder]]&gt;=7),"High Pressure","Low Pressure")</f>
        <v>High Pressure</v>
      </c>
      <c r="G825" t="s">
        <v>52</v>
      </c>
      <c r="H825">
        <v>5</v>
      </c>
      <c r="I825">
        <v>1</v>
      </c>
      <c r="J825" t="s">
        <v>62</v>
      </c>
      <c r="K825">
        <f>world_cup_matches9[[#This Row],[Home Goals]]+world_cup_matches9[[#This Row],[Away Goals]]</f>
        <v>6</v>
      </c>
      <c r="L825" t="s">
        <v>132</v>
      </c>
      <c r="M82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5" t="b">
        <v>0</v>
      </c>
    </row>
    <row r="826" spans="1:14" x14ac:dyDescent="0.3">
      <c r="A826">
        <v>51</v>
      </c>
      <c r="B826">
        <v>1938</v>
      </c>
      <c r="C826" s="2">
        <v>14047</v>
      </c>
      <c r="D826" s="3" cm="1">
        <f t="array" ref="D82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6" t="s">
        <v>41</v>
      </c>
      <c r="F826" t="str">
        <f>IF((world_cup_matches9[[#This Row],[StageOrder]]&gt;=7),"High Pressure","Low Pressure")</f>
        <v>High Pressure</v>
      </c>
      <c r="G826" t="s">
        <v>46</v>
      </c>
      <c r="H826">
        <v>2</v>
      </c>
      <c r="I826">
        <v>1</v>
      </c>
      <c r="J826" t="s">
        <v>23</v>
      </c>
      <c r="K826">
        <f>world_cup_matches9[[#This Row],[Home Goals]]+world_cup_matches9[[#This Row],[Away Goals]]</f>
        <v>3</v>
      </c>
      <c r="L826" t="s">
        <v>132</v>
      </c>
      <c r="M82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6" t="b">
        <v>0</v>
      </c>
    </row>
    <row r="827" spans="1:14" x14ac:dyDescent="0.3">
      <c r="A827">
        <v>98</v>
      </c>
      <c r="B827">
        <v>1954</v>
      </c>
      <c r="C827" s="2">
        <v>19905</v>
      </c>
      <c r="D827" s="3" cm="1">
        <f t="array" ref="D82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7" t="s">
        <v>41</v>
      </c>
      <c r="F827" t="str">
        <f>IF((world_cup_matches9[[#This Row],[StageOrder]]&gt;=7),"High Pressure","Low Pressure")</f>
        <v>High Pressure</v>
      </c>
      <c r="G827" t="s">
        <v>17</v>
      </c>
      <c r="H827">
        <v>6</v>
      </c>
      <c r="I827">
        <v>1</v>
      </c>
      <c r="J827" t="s">
        <v>55</v>
      </c>
      <c r="K827">
        <f>world_cup_matches9[[#This Row],[Home Goals]]+world_cup_matches9[[#This Row],[Away Goals]]</f>
        <v>7</v>
      </c>
      <c r="L827" t="s">
        <v>132</v>
      </c>
      <c r="M82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7" t="b">
        <v>0</v>
      </c>
    </row>
    <row r="828" spans="1:14" x14ac:dyDescent="0.3">
      <c r="A828">
        <v>99</v>
      </c>
      <c r="B828">
        <v>1954</v>
      </c>
      <c r="C828" s="2">
        <v>19905</v>
      </c>
      <c r="D828" s="3" cm="1">
        <f t="array" ref="D82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8" t="s">
        <v>41</v>
      </c>
      <c r="F828" t="str">
        <f>IF((world_cup_matches9[[#This Row],[StageOrder]]&gt;=7),"High Pressure","Low Pressure")</f>
        <v>High Pressure</v>
      </c>
      <c r="G828" t="s">
        <v>52</v>
      </c>
      <c r="H828">
        <v>4</v>
      </c>
      <c r="I828">
        <v>2</v>
      </c>
      <c r="J828" t="s">
        <v>29</v>
      </c>
      <c r="K828">
        <f>world_cup_matches9[[#This Row],[Home Goals]]+world_cup_matches9[[#This Row],[Away Goals]]</f>
        <v>6</v>
      </c>
      <c r="L828" t="s">
        <v>97</v>
      </c>
      <c r="M82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28" t="b">
        <v>0</v>
      </c>
    </row>
    <row r="829" spans="1:14" x14ac:dyDescent="0.3">
      <c r="A829">
        <v>133</v>
      </c>
      <c r="B829">
        <v>1958</v>
      </c>
      <c r="C829" s="2">
        <v>21360</v>
      </c>
      <c r="D829" s="3" cm="1">
        <f t="array" ref="D82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29" t="s">
        <v>41</v>
      </c>
      <c r="F829" t="str">
        <f>IF((world_cup_matches9[[#This Row],[StageOrder]]&gt;=7),"High Pressure","Low Pressure")</f>
        <v>High Pressure</v>
      </c>
      <c r="G829" t="s">
        <v>62</v>
      </c>
      <c r="H829">
        <v>3</v>
      </c>
      <c r="I829">
        <v>1</v>
      </c>
      <c r="J829" t="s">
        <v>17</v>
      </c>
      <c r="K829">
        <f>world_cup_matches9[[#This Row],[Home Goals]]+world_cup_matches9[[#This Row],[Away Goals]]</f>
        <v>4</v>
      </c>
      <c r="L829" t="s">
        <v>132</v>
      </c>
      <c r="M82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29" t="b">
        <v>1</v>
      </c>
    </row>
    <row r="830" spans="1:14" x14ac:dyDescent="0.3">
      <c r="A830">
        <v>134</v>
      </c>
      <c r="B830">
        <v>1958</v>
      </c>
      <c r="C830" s="2">
        <v>21360</v>
      </c>
      <c r="D830" s="3" cm="1">
        <f t="array" ref="D83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0" t="s">
        <v>41</v>
      </c>
      <c r="F830" t="str">
        <f>IF((world_cup_matches9[[#This Row],[StageOrder]]&gt;=7),"High Pressure","Low Pressure")</f>
        <v>High Pressure</v>
      </c>
      <c r="G830" t="s">
        <v>23</v>
      </c>
      <c r="H830">
        <v>5</v>
      </c>
      <c r="I830">
        <v>2</v>
      </c>
      <c r="J830" t="s">
        <v>11</v>
      </c>
      <c r="K830">
        <f>world_cup_matches9[[#This Row],[Home Goals]]+world_cup_matches9[[#This Row],[Away Goals]]</f>
        <v>7</v>
      </c>
      <c r="L830" t="s">
        <v>132</v>
      </c>
      <c r="M83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0" t="b">
        <v>0</v>
      </c>
    </row>
    <row r="831" spans="1:14" x14ac:dyDescent="0.3">
      <c r="A831">
        <v>165</v>
      </c>
      <c r="B831">
        <v>1962</v>
      </c>
      <c r="C831" s="2">
        <v>22810</v>
      </c>
      <c r="D831" s="3" cm="1">
        <f t="array" ref="D83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1" t="s">
        <v>41</v>
      </c>
      <c r="F831" t="str">
        <f>IF((world_cup_matches9[[#This Row],[StageOrder]]&gt;=7),"High Pressure","Low Pressure")</f>
        <v>High Pressure</v>
      </c>
      <c r="G831" t="s">
        <v>61</v>
      </c>
      <c r="H831">
        <v>3</v>
      </c>
      <c r="I831">
        <v>1</v>
      </c>
      <c r="J831" t="s">
        <v>69</v>
      </c>
      <c r="K831">
        <f>world_cup_matches9[[#This Row],[Home Goals]]+world_cup_matches9[[#This Row],[Away Goals]]</f>
        <v>4</v>
      </c>
      <c r="L831" t="s">
        <v>132</v>
      </c>
      <c r="M83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1" t="b">
        <v>0</v>
      </c>
    </row>
    <row r="832" spans="1:14" x14ac:dyDescent="0.3">
      <c r="A832">
        <v>166</v>
      </c>
      <c r="B832">
        <v>1962</v>
      </c>
      <c r="C832" s="2">
        <v>22810</v>
      </c>
      <c r="D832" s="3" cm="1">
        <f t="array" ref="D83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2" t="s">
        <v>41</v>
      </c>
      <c r="F832" t="str">
        <f>IF((world_cup_matches9[[#This Row],[StageOrder]]&gt;=7),"High Pressure","Low Pressure")</f>
        <v>High Pressure</v>
      </c>
      <c r="G832" t="s">
        <v>63</v>
      </c>
      <c r="H832">
        <v>2</v>
      </c>
      <c r="I832">
        <v>4</v>
      </c>
      <c r="J832" t="s">
        <v>23</v>
      </c>
      <c r="K832">
        <f>world_cup_matches9[[#This Row],[Home Goals]]+world_cup_matches9[[#This Row],[Away Goals]]</f>
        <v>6</v>
      </c>
      <c r="L832" t="s">
        <v>132</v>
      </c>
      <c r="M83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2" t="b">
        <v>1</v>
      </c>
    </row>
    <row r="833" spans="1:14" x14ac:dyDescent="0.3">
      <c r="A833">
        <v>197</v>
      </c>
      <c r="B833">
        <v>1966</v>
      </c>
      <c r="C833" s="2">
        <v>24313</v>
      </c>
      <c r="D833" s="3" cm="1">
        <f t="array" ref="D83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3" t="s">
        <v>41</v>
      </c>
      <c r="F833" t="str">
        <f>IF((world_cup_matches9[[#This Row],[StageOrder]]&gt;=7),"High Pressure","Low Pressure")</f>
        <v>High Pressure</v>
      </c>
      <c r="G833" t="s">
        <v>17</v>
      </c>
      <c r="H833">
        <v>2</v>
      </c>
      <c r="I833">
        <v>1</v>
      </c>
      <c r="J833" t="s">
        <v>54</v>
      </c>
      <c r="K833">
        <f>world_cup_matches9[[#This Row],[Home Goals]]+world_cup_matches9[[#This Row],[Away Goals]]</f>
        <v>3</v>
      </c>
      <c r="L833" t="s">
        <v>132</v>
      </c>
      <c r="M83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3" t="b">
        <v>0</v>
      </c>
    </row>
    <row r="834" spans="1:14" x14ac:dyDescent="0.3">
      <c r="A834">
        <v>198</v>
      </c>
      <c r="B834">
        <v>1966</v>
      </c>
      <c r="C834" s="2">
        <v>24314</v>
      </c>
      <c r="D834" s="3" cm="1">
        <f t="array" ref="D83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4" t="s">
        <v>41</v>
      </c>
      <c r="F834" t="str">
        <f>IF((world_cup_matches9[[#This Row],[StageOrder]]&gt;=7),"High Pressure","Low Pressure")</f>
        <v>High Pressure</v>
      </c>
      <c r="G834" t="s">
        <v>3</v>
      </c>
      <c r="H834">
        <v>2</v>
      </c>
      <c r="I834">
        <v>1</v>
      </c>
      <c r="J834" t="s">
        <v>27</v>
      </c>
      <c r="K834">
        <f>world_cup_matches9[[#This Row],[Home Goals]]+world_cup_matches9[[#This Row],[Away Goals]]</f>
        <v>3</v>
      </c>
      <c r="L834" t="s">
        <v>132</v>
      </c>
      <c r="M83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4" t="b">
        <v>1</v>
      </c>
    </row>
    <row r="835" spans="1:14" x14ac:dyDescent="0.3">
      <c r="A835">
        <v>229</v>
      </c>
      <c r="B835">
        <v>1970</v>
      </c>
      <c r="C835" s="2">
        <v>25736</v>
      </c>
      <c r="D835" s="3" cm="1">
        <f t="array" ref="D83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5" t="s">
        <v>41</v>
      </c>
      <c r="F835" t="str">
        <f>IF((world_cup_matches9[[#This Row],[StageOrder]]&gt;=7),"High Pressure","Low Pressure")</f>
        <v>High Pressure</v>
      </c>
      <c r="G835" t="s">
        <v>23</v>
      </c>
      <c r="H835">
        <v>3</v>
      </c>
      <c r="I835">
        <v>1</v>
      </c>
      <c r="J835" t="s">
        <v>29</v>
      </c>
      <c r="K835">
        <f>world_cup_matches9[[#This Row],[Home Goals]]+world_cup_matches9[[#This Row],[Away Goals]]</f>
        <v>4</v>
      </c>
      <c r="L835" t="s">
        <v>132</v>
      </c>
      <c r="M83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5" t="b">
        <v>0</v>
      </c>
    </row>
    <row r="836" spans="1:14" x14ac:dyDescent="0.3">
      <c r="A836">
        <v>230</v>
      </c>
      <c r="B836">
        <v>1970</v>
      </c>
      <c r="C836" s="2">
        <v>25736</v>
      </c>
      <c r="D836" s="3" cm="1">
        <f t="array" ref="D83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6" t="s">
        <v>41</v>
      </c>
      <c r="F836" t="str">
        <f>IF((world_cup_matches9[[#This Row],[StageOrder]]&gt;=7),"High Pressure","Low Pressure")</f>
        <v>High Pressure</v>
      </c>
      <c r="G836" t="s">
        <v>46</v>
      </c>
      <c r="H836">
        <v>4</v>
      </c>
      <c r="I836">
        <v>3</v>
      </c>
      <c r="J836" t="s">
        <v>17</v>
      </c>
      <c r="K836">
        <f>world_cup_matches9[[#This Row],[Home Goals]]+world_cup_matches9[[#This Row],[Away Goals]]</f>
        <v>7</v>
      </c>
      <c r="L836" t="s">
        <v>97</v>
      </c>
      <c r="M83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36" t="b">
        <v>0</v>
      </c>
    </row>
    <row r="837" spans="1:14" x14ac:dyDescent="0.3">
      <c r="A837">
        <v>357</v>
      </c>
      <c r="B837">
        <v>1982</v>
      </c>
      <c r="C837" s="2">
        <v>30140</v>
      </c>
      <c r="D837" s="3" cm="1">
        <f t="array" ref="D83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7" t="s">
        <v>41</v>
      </c>
      <c r="F837" t="str">
        <f>IF((world_cup_matches9[[#This Row],[StageOrder]]&gt;=7),"High Pressure","Low Pressure")</f>
        <v>High Pressure</v>
      </c>
      <c r="G837" t="s">
        <v>10</v>
      </c>
      <c r="H837">
        <v>0</v>
      </c>
      <c r="I837">
        <v>2</v>
      </c>
      <c r="J837" t="s">
        <v>46</v>
      </c>
      <c r="K837">
        <f>world_cup_matches9[[#This Row],[Home Goals]]+world_cup_matches9[[#This Row],[Away Goals]]</f>
        <v>2</v>
      </c>
      <c r="L837" t="s">
        <v>132</v>
      </c>
      <c r="M83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7" t="b">
        <v>0</v>
      </c>
    </row>
    <row r="838" spans="1:14" x14ac:dyDescent="0.3">
      <c r="A838">
        <v>358</v>
      </c>
      <c r="B838">
        <v>1982</v>
      </c>
      <c r="C838" s="2">
        <v>30140</v>
      </c>
      <c r="D838" s="3" cm="1">
        <f t="array" ref="D83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8" t="s">
        <v>41</v>
      </c>
      <c r="F838" t="str">
        <f>IF((world_cup_matches9[[#This Row],[StageOrder]]&gt;=7),"High Pressure","Low Pressure")</f>
        <v>High Pressure</v>
      </c>
      <c r="G838" t="s">
        <v>17</v>
      </c>
      <c r="H838">
        <v>3</v>
      </c>
      <c r="I838">
        <v>3</v>
      </c>
      <c r="J838" t="s">
        <v>11</v>
      </c>
      <c r="K838">
        <f>world_cup_matches9[[#This Row],[Home Goals]]+world_cup_matches9[[#This Row],[Away Goals]]</f>
        <v>6</v>
      </c>
      <c r="L838" t="s">
        <v>103</v>
      </c>
      <c r="M83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38" t="b">
        <v>0</v>
      </c>
    </row>
    <row r="839" spans="1:14" x14ac:dyDescent="0.3">
      <c r="A839">
        <v>409</v>
      </c>
      <c r="B839">
        <v>1986</v>
      </c>
      <c r="C839" s="2">
        <v>31588</v>
      </c>
      <c r="D839" s="3" cm="1">
        <f t="array" ref="D83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39" t="s">
        <v>41</v>
      </c>
      <c r="F839" t="str">
        <f>IF((world_cup_matches9[[#This Row],[StageOrder]]&gt;=7),"High Pressure","Low Pressure")</f>
        <v>High Pressure</v>
      </c>
      <c r="G839" t="s">
        <v>11</v>
      </c>
      <c r="H839">
        <v>0</v>
      </c>
      <c r="I839">
        <v>2</v>
      </c>
      <c r="J839" t="s">
        <v>17</v>
      </c>
      <c r="K839">
        <f>world_cup_matches9[[#This Row],[Home Goals]]+world_cup_matches9[[#This Row],[Away Goals]]</f>
        <v>2</v>
      </c>
      <c r="L839" t="s">
        <v>132</v>
      </c>
      <c r="M83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39" t="b">
        <v>0</v>
      </c>
    </row>
    <row r="840" spans="1:14" x14ac:dyDescent="0.3">
      <c r="A840">
        <v>410</v>
      </c>
      <c r="B840">
        <v>1986</v>
      </c>
      <c r="C840" s="2">
        <v>31588</v>
      </c>
      <c r="D840" s="3" cm="1">
        <f t="array" ref="D84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0" t="s">
        <v>41</v>
      </c>
      <c r="F840" t="str">
        <f>IF((world_cup_matches9[[#This Row],[StageOrder]]&gt;=7),"High Pressure","Low Pressure")</f>
        <v>High Pressure</v>
      </c>
      <c r="G840" t="s">
        <v>7</v>
      </c>
      <c r="H840">
        <v>2</v>
      </c>
      <c r="I840">
        <v>0</v>
      </c>
      <c r="J840" t="s">
        <v>19</v>
      </c>
      <c r="K840">
        <f>world_cup_matches9[[#This Row],[Home Goals]]+world_cup_matches9[[#This Row],[Away Goals]]</f>
        <v>2</v>
      </c>
      <c r="L840" t="s">
        <v>132</v>
      </c>
      <c r="M84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0" t="b">
        <v>0</v>
      </c>
    </row>
    <row r="841" spans="1:14" x14ac:dyDescent="0.3">
      <c r="A841">
        <v>461</v>
      </c>
      <c r="B841">
        <v>1990</v>
      </c>
      <c r="C841" s="2">
        <v>33057</v>
      </c>
      <c r="D841" s="3" cm="1">
        <f t="array" ref="D84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1" t="s">
        <v>41</v>
      </c>
      <c r="F841" t="str">
        <f>IF((world_cup_matches9[[#This Row],[StageOrder]]&gt;=7),"High Pressure","Low Pressure")</f>
        <v>High Pressure</v>
      </c>
      <c r="G841" t="s">
        <v>46</v>
      </c>
      <c r="H841">
        <v>1</v>
      </c>
      <c r="I841">
        <v>1</v>
      </c>
      <c r="J841" t="s">
        <v>7</v>
      </c>
      <c r="K841">
        <f>world_cup_matches9[[#This Row],[Home Goals]]+world_cup_matches9[[#This Row],[Away Goals]]</f>
        <v>2</v>
      </c>
      <c r="L841" t="s">
        <v>109</v>
      </c>
      <c r="M84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41" t="b">
        <v>1</v>
      </c>
    </row>
    <row r="842" spans="1:14" x14ac:dyDescent="0.3">
      <c r="A842">
        <v>462</v>
      </c>
      <c r="B842">
        <v>1990</v>
      </c>
      <c r="C842" s="2">
        <v>33058</v>
      </c>
      <c r="D842" s="3" cm="1">
        <f t="array" ref="D84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2" t="s">
        <v>41</v>
      </c>
      <c r="F842" t="str">
        <f>IF((world_cup_matches9[[#This Row],[StageOrder]]&gt;=7),"High Pressure","Low Pressure")</f>
        <v>High Pressure</v>
      </c>
      <c r="G842" t="s">
        <v>17</v>
      </c>
      <c r="H842">
        <v>1</v>
      </c>
      <c r="I842">
        <v>1</v>
      </c>
      <c r="J842" t="s">
        <v>3</v>
      </c>
      <c r="K842">
        <f>world_cup_matches9[[#This Row],[Home Goals]]+world_cup_matches9[[#This Row],[Away Goals]]</f>
        <v>2</v>
      </c>
      <c r="L842" t="s">
        <v>110</v>
      </c>
      <c r="M84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42" t="b">
        <v>0</v>
      </c>
    </row>
    <row r="843" spans="1:14" x14ac:dyDescent="0.3">
      <c r="A843">
        <v>513</v>
      </c>
      <c r="B843">
        <v>1994</v>
      </c>
      <c r="C843" s="2">
        <v>34528</v>
      </c>
      <c r="D843" s="3" cm="1">
        <f t="array" ref="D84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3" t="s">
        <v>41</v>
      </c>
      <c r="F843" t="str">
        <f>IF((world_cup_matches9[[#This Row],[StageOrder]]&gt;=7),"High Pressure","Low Pressure")</f>
        <v>High Pressure</v>
      </c>
      <c r="G843" t="s">
        <v>74</v>
      </c>
      <c r="H843">
        <v>1</v>
      </c>
      <c r="I843">
        <v>2</v>
      </c>
      <c r="J843" t="s">
        <v>46</v>
      </c>
      <c r="K843">
        <f>world_cup_matches9[[#This Row],[Home Goals]]+world_cup_matches9[[#This Row],[Away Goals]]</f>
        <v>3</v>
      </c>
      <c r="L843" t="s">
        <v>132</v>
      </c>
      <c r="M84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3" t="b">
        <v>0</v>
      </c>
    </row>
    <row r="844" spans="1:14" x14ac:dyDescent="0.3">
      <c r="A844">
        <v>514</v>
      </c>
      <c r="B844">
        <v>1994</v>
      </c>
      <c r="C844" s="2">
        <v>34528</v>
      </c>
      <c r="D844" s="3" cm="1">
        <f t="array" ref="D84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4" t="s">
        <v>41</v>
      </c>
      <c r="F844" t="str">
        <f>IF((world_cup_matches9[[#This Row],[StageOrder]]&gt;=7),"High Pressure","Low Pressure")</f>
        <v>High Pressure</v>
      </c>
      <c r="G844" t="s">
        <v>62</v>
      </c>
      <c r="H844">
        <v>0</v>
      </c>
      <c r="I844">
        <v>1</v>
      </c>
      <c r="J844" t="s">
        <v>23</v>
      </c>
      <c r="K844">
        <f>world_cup_matches9[[#This Row],[Home Goals]]+world_cup_matches9[[#This Row],[Away Goals]]</f>
        <v>1</v>
      </c>
      <c r="L844" t="s">
        <v>132</v>
      </c>
      <c r="M84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4" t="b">
        <v>0</v>
      </c>
    </row>
    <row r="845" spans="1:14" x14ac:dyDescent="0.3">
      <c r="A845">
        <v>577</v>
      </c>
      <c r="B845">
        <v>1998</v>
      </c>
      <c r="C845" s="2">
        <v>35983</v>
      </c>
      <c r="D845" s="3" cm="1">
        <f t="array" ref="D84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5" t="s">
        <v>41</v>
      </c>
      <c r="F845" t="str">
        <f>IF((world_cup_matches9[[#This Row],[StageOrder]]&gt;=7),"High Pressure","Low Pressure")</f>
        <v>High Pressure</v>
      </c>
      <c r="G845" t="s">
        <v>23</v>
      </c>
      <c r="H845">
        <v>1</v>
      </c>
      <c r="I845">
        <v>1</v>
      </c>
      <c r="J845" t="s">
        <v>2</v>
      </c>
      <c r="K845">
        <f>world_cup_matches9[[#This Row],[Home Goals]]+world_cup_matches9[[#This Row],[Away Goals]]</f>
        <v>2</v>
      </c>
      <c r="L845" t="s">
        <v>115</v>
      </c>
      <c r="M84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45" t="b">
        <v>0</v>
      </c>
    </row>
    <row r="846" spans="1:14" x14ac:dyDescent="0.3">
      <c r="A846">
        <v>578</v>
      </c>
      <c r="B846">
        <v>1998</v>
      </c>
      <c r="C846" s="2">
        <v>35984</v>
      </c>
      <c r="D846" s="3" cm="1">
        <f t="array" ref="D84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6" t="s">
        <v>41</v>
      </c>
      <c r="F846" t="str">
        <f>IF((world_cup_matches9[[#This Row],[StageOrder]]&gt;=7),"High Pressure","Low Pressure")</f>
        <v>High Pressure</v>
      </c>
      <c r="G846" t="s">
        <v>11</v>
      </c>
      <c r="H846">
        <v>2</v>
      </c>
      <c r="I846">
        <v>1</v>
      </c>
      <c r="J846" t="s">
        <v>22</v>
      </c>
      <c r="K846">
        <f>world_cup_matches9[[#This Row],[Home Goals]]+world_cup_matches9[[#This Row],[Away Goals]]</f>
        <v>3</v>
      </c>
      <c r="L846" t="s">
        <v>132</v>
      </c>
      <c r="M84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6" t="b">
        <v>1</v>
      </c>
    </row>
    <row r="847" spans="1:14" x14ac:dyDescent="0.3">
      <c r="A847">
        <v>641</v>
      </c>
      <c r="B847">
        <v>2002</v>
      </c>
      <c r="C847" s="2">
        <v>37432</v>
      </c>
      <c r="D847" s="3" cm="1">
        <f t="array" ref="D84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7" t="s">
        <v>41</v>
      </c>
      <c r="F847" t="str">
        <f>IF((world_cup_matches9[[#This Row],[StageOrder]]&gt;=7),"High Pressure","Low Pressure")</f>
        <v>High Pressure</v>
      </c>
      <c r="G847" t="s">
        <v>30</v>
      </c>
      <c r="H847">
        <v>0</v>
      </c>
      <c r="I847">
        <v>1</v>
      </c>
      <c r="J847" t="s">
        <v>17</v>
      </c>
      <c r="K847">
        <f>world_cup_matches9[[#This Row],[Home Goals]]+world_cup_matches9[[#This Row],[Away Goals]]</f>
        <v>1</v>
      </c>
      <c r="L847" t="s">
        <v>132</v>
      </c>
      <c r="M84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7" t="b">
        <v>1</v>
      </c>
    </row>
    <row r="848" spans="1:14" x14ac:dyDescent="0.3">
      <c r="A848">
        <v>642</v>
      </c>
      <c r="B848">
        <v>2002</v>
      </c>
      <c r="C848" s="2">
        <v>37433</v>
      </c>
      <c r="D848" s="3" cm="1">
        <f t="array" ref="D84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8" t="s">
        <v>41</v>
      </c>
      <c r="F848" t="str">
        <f>IF((world_cup_matches9[[#This Row],[StageOrder]]&gt;=7),"High Pressure","Low Pressure")</f>
        <v>High Pressure</v>
      </c>
      <c r="G848" t="s">
        <v>23</v>
      </c>
      <c r="H848">
        <v>1</v>
      </c>
      <c r="I848">
        <v>0</v>
      </c>
      <c r="J848" t="s">
        <v>45</v>
      </c>
      <c r="K848">
        <f>world_cup_matches9[[#This Row],[Home Goals]]+world_cup_matches9[[#This Row],[Away Goals]]</f>
        <v>1</v>
      </c>
      <c r="L848" t="s">
        <v>132</v>
      </c>
      <c r="M84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48" t="b">
        <v>0</v>
      </c>
    </row>
    <row r="849" spans="1:14" x14ac:dyDescent="0.3">
      <c r="A849">
        <v>705</v>
      </c>
      <c r="B849">
        <v>2006</v>
      </c>
      <c r="C849" s="2">
        <v>38902</v>
      </c>
      <c r="D849" s="3" cm="1">
        <f t="array" ref="D84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49" t="s">
        <v>41</v>
      </c>
      <c r="F849" t="str">
        <f>IF((world_cup_matches9[[#This Row],[StageOrder]]&gt;=7),"High Pressure","Low Pressure")</f>
        <v>High Pressure</v>
      </c>
      <c r="G849" t="s">
        <v>17</v>
      </c>
      <c r="H849">
        <v>0</v>
      </c>
      <c r="I849">
        <v>2</v>
      </c>
      <c r="J849" t="s">
        <v>46</v>
      </c>
      <c r="K849">
        <f>world_cup_matches9[[#This Row],[Home Goals]]+world_cup_matches9[[#This Row],[Away Goals]]</f>
        <v>2</v>
      </c>
      <c r="L849" t="s">
        <v>97</v>
      </c>
      <c r="M84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49" t="b">
        <v>1</v>
      </c>
    </row>
    <row r="850" spans="1:14" x14ac:dyDescent="0.3">
      <c r="A850">
        <v>706</v>
      </c>
      <c r="B850">
        <v>2006</v>
      </c>
      <c r="C850" s="2">
        <v>38903</v>
      </c>
      <c r="D850" s="3" cm="1">
        <f t="array" ref="D85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0" t="s">
        <v>41</v>
      </c>
      <c r="F850" t="str">
        <f>IF((world_cup_matches9[[#This Row],[StageOrder]]&gt;=7),"High Pressure","Low Pressure")</f>
        <v>High Pressure</v>
      </c>
      <c r="G850" t="s">
        <v>27</v>
      </c>
      <c r="H850">
        <v>0</v>
      </c>
      <c r="I850">
        <v>1</v>
      </c>
      <c r="J850" t="s">
        <v>11</v>
      </c>
      <c r="K850">
        <f>world_cup_matches9[[#This Row],[Home Goals]]+world_cup_matches9[[#This Row],[Away Goals]]</f>
        <v>1</v>
      </c>
      <c r="L850" t="s">
        <v>132</v>
      </c>
      <c r="M85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0" t="b">
        <v>0</v>
      </c>
    </row>
    <row r="851" spans="1:14" x14ac:dyDescent="0.3">
      <c r="A851">
        <v>769</v>
      </c>
      <c r="B851">
        <v>2010</v>
      </c>
      <c r="C851" s="2">
        <v>40365</v>
      </c>
      <c r="D851" s="3" cm="1">
        <f t="array" ref="D85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1" t="s">
        <v>41</v>
      </c>
      <c r="F851" t="str">
        <f>IF((world_cup_matches9[[#This Row],[StageOrder]]&gt;=7),"High Pressure","Low Pressure")</f>
        <v>High Pressure</v>
      </c>
      <c r="G851" t="s">
        <v>29</v>
      </c>
      <c r="H851">
        <v>2</v>
      </c>
      <c r="I851">
        <v>3</v>
      </c>
      <c r="J851" t="s">
        <v>2</v>
      </c>
      <c r="K851">
        <f>world_cup_matches9[[#This Row],[Home Goals]]+world_cup_matches9[[#This Row],[Away Goals]]</f>
        <v>5</v>
      </c>
      <c r="L851" t="s">
        <v>132</v>
      </c>
      <c r="M85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1" t="b">
        <v>0</v>
      </c>
    </row>
    <row r="852" spans="1:14" x14ac:dyDescent="0.3">
      <c r="A852">
        <v>770</v>
      </c>
      <c r="B852">
        <v>2010</v>
      </c>
      <c r="C852" s="2">
        <v>40366</v>
      </c>
      <c r="D852" s="3" cm="1">
        <f t="array" ref="D85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2" t="s">
        <v>41</v>
      </c>
      <c r="F852" t="str">
        <f>IF((world_cup_matches9[[#This Row],[StageOrder]]&gt;=7),"High Pressure","Low Pressure")</f>
        <v>High Pressure</v>
      </c>
      <c r="G852" t="s">
        <v>17</v>
      </c>
      <c r="H852">
        <v>0</v>
      </c>
      <c r="I852">
        <v>1</v>
      </c>
      <c r="J852" t="s">
        <v>15</v>
      </c>
      <c r="K852">
        <f>world_cup_matches9[[#This Row],[Home Goals]]+world_cup_matches9[[#This Row],[Away Goals]]</f>
        <v>1</v>
      </c>
      <c r="L852" t="s">
        <v>132</v>
      </c>
      <c r="M85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2" t="b">
        <v>0</v>
      </c>
    </row>
    <row r="853" spans="1:14" x14ac:dyDescent="0.3">
      <c r="A853">
        <v>833</v>
      </c>
      <c r="B853">
        <v>2014</v>
      </c>
      <c r="C853" s="2">
        <v>41828</v>
      </c>
      <c r="D853" s="3" cm="1">
        <f t="array" ref="D85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3" t="s">
        <v>41</v>
      </c>
      <c r="F853" t="str">
        <f>IF((world_cup_matches9[[#This Row],[StageOrder]]&gt;=7),"High Pressure","Low Pressure")</f>
        <v>High Pressure</v>
      </c>
      <c r="G853" t="s">
        <v>23</v>
      </c>
      <c r="H853">
        <v>1</v>
      </c>
      <c r="I853">
        <v>7</v>
      </c>
      <c r="J853" t="s">
        <v>17</v>
      </c>
      <c r="K853">
        <f>world_cup_matches9[[#This Row],[Home Goals]]+world_cup_matches9[[#This Row],[Away Goals]]</f>
        <v>8</v>
      </c>
      <c r="L853" t="s">
        <v>132</v>
      </c>
      <c r="M85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3" t="b">
        <v>1</v>
      </c>
    </row>
    <row r="854" spans="1:14" x14ac:dyDescent="0.3">
      <c r="A854">
        <v>834</v>
      </c>
      <c r="B854">
        <v>2014</v>
      </c>
      <c r="C854" s="2">
        <v>41829</v>
      </c>
      <c r="D854" s="3" cm="1">
        <f t="array" ref="D85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4" t="s">
        <v>41</v>
      </c>
      <c r="F854" t="str">
        <f>IF((world_cup_matches9[[#This Row],[StageOrder]]&gt;=7),"High Pressure","Low Pressure")</f>
        <v>High Pressure</v>
      </c>
      <c r="G854" t="s">
        <v>2</v>
      </c>
      <c r="H854">
        <v>0</v>
      </c>
      <c r="I854">
        <v>0</v>
      </c>
      <c r="J854" t="s">
        <v>7</v>
      </c>
      <c r="K854">
        <f>world_cup_matches9[[#This Row],[Home Goals]]+world_cup_matches9[[#This Row],[Away Goals]]</f>
        <v>0</v>
      </c>
      <c r="L854" t="s">
        <v>127</v>
      </c>
      <c r="M85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54" t="b">
        <v>0</v>
      </c>
    </row>
    <row r="855" spans="1:14" x14ac:dyDescent="0.3">
      <c r="A855">
        <v>897</v>
      </c>
      <c r="B855">
        <v>2018</v>
      </c>
      <c r="C855" s="2">
        <v>43291</v>
      </c>
      <c r="D855" s="3" cm="1">
        <f t="array" ref="D85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5" t="s">
        <v>41</v>
      </c>
      <c r="F855" t="str">
        <f>IF((world_cup_matches9[[#This Row],[StageOrder]]&gt;=7),"High Pressure","Low Pressure")</f>
        <v>High Pressure</v>
      </c>
      <c r="G855" t="s">
        <v>11</v>
      </c>
      <c r="H855">
        <v>1</v>
      </c>
      <c r="I855">
        <v>0</v>
      </c>
      <c r="J855" t="s">
        <v>19</v>
      </c>
      <c r="K855">
        <f>world_cup_matches9[[#This Row],[Home Goals]]+world_cup_matches9[[#This Row],[Away Goals]]</f>
        <v>1</v>
      </c>
      <c r="L855" t="s">
        <v>132</v>
      </c>
      <c r="M85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5" t="b">
        <v>0</v>
      </c>
    </row>
    <row r="856" spans="1:14" x14ac:dyDescent="0.3">
      <c r="A856">
        <v>898</v>
      </c>
      <c r="B856">
        <v>2018</v>
      </c>
      <c r="C856" s="2">
        <v>43292</v>
      </c>
      <c r="D856" s="3" cm="1">
        <f t="array" ref="D85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7</v>
      </c>
      <c r="E856" t="s">
        <v>41</v>
      </c>
      <c r="F856" t="str">
        <f>IF((world_cup_matches9[[#This Row],[StageOrder]]&gt;=7),"High Pressure","Low Pressure")</f>
        <v>High Pressure</v>
      </c>
      <c r="G856" t="s">
        <v>22</v>
      </c>
      <c r="H856">
        <v>2</v>
      </c>
      <c r="I856">
        <v>1</v>
      </c>
      <c r="J856" t="s">
        <v>3</v>
      </c>
      <c r="K856">
        <f>world_cup_matches9[[#This Row],[Home Goals]]+world_cup_matches9[[#This Row],[Away Goals]]</f>
        <v>3</v>
      </c>
      <c r="L856" t="s">
        <v>97</v>
      </c>
      <c r="M85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56" t="b">
        <v>0</v>
      </c>
    </row>
    <row r="857" spans="1:14" x14ac:dyDescent="0.3">
      <c r="A857">
        <v>34</v>
      </c>
      <c r="B857">
        <v>1934</v>
      </c>
      <c r="C857" s="2">
        <v>12577</v>
      </c>
      <c r="D857" s="3" cm="1">
        <f t="array" ref="D85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57" t="s">
        <v>42</v>
      </c>
      <c r="F857" t="str">
        <f>IF((world_cup_matches9[[#This Row],[StageOrder]]&gt;=7),"High Pressure","Low Pressure")</f>
        <v>High Pressure</v>
      </c>
      <c r="G857" t="s">
        <v>17</v>
      </c>
      <c r="H857">
        <v>3</v>
      </c>
      <c r="I857">
        <v>2</v>
      </c>
      <c r="J857" t="s">
        <v>55</v>
      </c>
      <c r="K857">
        <f>world_cup_matches9[[#This Row],[Home Goals]]+world_cup_matches9[[#This Row],[Away Goals]]</f>
        <v>5</v>
      </c>
      <c r="L857" t="s">
        <v>132</v>
      </c>
      <c r="M85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7" t="b">
        <v>0</v>
      </c>
    </row>
    <row r="858" spans="1:14" x14ac:dyDescent="0.3">
      <c r="A858">
        <v>52</v>
      </c>
      <c r="B858">
        <v>1938</v>
      </c>
      <c r="C858" s="2">
        <v>14050</v>
      </c>
      <c r="D858" s="3" cm="1">
        <f t="array" ref="D85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58" t="s">
        <v>42</v>
      </c>
      <c r="F858" t="str">
        <f>IF((world_cup_matches9[[#This Row],[StageOrder]]&gt;=7),"High Pressure","Low Pressure")</f>
        <v>High Pressure</v>
      </c>
      <c r="G858" t="s">
        <v>23</v>
      </c>
      <c r="H858">
        <v>4</v>
      </c>
      <c r="I858">
        <v>2</v>
      </c>
      <c r="J858" t="s">
        <v>62</v>
      </c>
      <c r="K858">
        <f>world_cup_matches9[[#This Row],[Home Goals]]+world_cup_matches9[[#This Row],[Away Goals]]</f>
        <v>6</v>
      </c>
      <c r="L858" t="s">
        <v>132</v>
      </c>
      <c r="M85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8" t="b">
        <v>0</v>
      </c>
    </row>
    <row r="859" spans="1:14" x14ac:dyDescent="0.3">
      <c r="A859">
        <v>100</v>
      </c>
      <c r="B859">
        <v>1954</v>
      </c>
      <c r="C859" s="2">
        <v>19908</v>
      </c>
      <c r="D859" s="3" cm="1">
        <f t="array" ref="D85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59" t="s">
        <v>42</v>
      </c>
      <c r="F859" t="str">
        <f>IF((world_cup_matches9[[#This Row],[StageOrder]]&gt;=7),"High Pressure","Low Pressure")</f>
        <v>High Pressure</v>
      </c>
      <c r="G859" t="s">
        <v>55</v>
      </c>
      <c r="H859">
        <v>3</v>
      </c>
      <c r="I859">
        <v>1</v>
      </c>
      <c r="J859" t="s">
        <v>29</v>
      </c>
      <c r="K859">
        <f>world_cup_matches9[[#This Row],[Home Goals]]+world_cup_matches9[[#This Row],[Away Goals]]</f>
        <v>4</v>
      </c>
      <c r="L859" t="s">
        <v>132</v>
      </c>
      <c r="M85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59" t="b">
        <v>0</v>
      </c>
    </row>
    <row r="860" spans="1:14" x14ac:dyDescent="0.3">
      <c r="A860">
        <v>135</v>
      </c>
      <c r="B860">
        <v>1958</v>
      </c>
      <c r="C860" s="2">
        <v>21364</v>
      </c>
      <c r="D860" s="3" cm="1">
        <f t="array" ref="D86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0" t="s">
        <v>42</v>
      </c>
      <c r="F860" t="str">
        <f>IF((world_cup_matches9[[#This Row],[StageOrder]]&gt;=7),"High Pressure","Low Pressure")</f>
        <v>High Pressure</v>
      </c>
      <c r="G860" t="s">
        <v>11</v>
      </c>
      <c r="H860">
        <v>6</v>
      </c>
      <c r="I860">
        <v>3</v>
      </c>
      <c r="J860" t="s">
        <v>17</v>
      </c>
      <c r="K860">
        <f>world_cup_matches9[[#This Row],[Home Goals]]+world_cup_matches9[[#This Row],[Away Goals]]</f>
        <v>9</v>
      </c>
      <c r="L860" t="s">
        <v>132</v>
      </c>
      <c r="M86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0" t="b">
        <v>0</v>
      </c>
    </row>
    <row r="861" spans="1:14" x14ac:dyDescent="0.3">
      <c r="A861">
        <v>167</v>
      </c>
      <c r="B861">
        <v>1962</v>
      </c>
      <c r="C861" s="2">
        <v>22813</v>
      </c>
      <c r="D861" s="3" cm="1">
        <f t="array" ref="D86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1" t="s">
        <v>42</v>
      </c>
      <c r="F861" t="str">
        <f>IF((world_cup_matches9[[#This Row],[StageOrder]]&gt;=7),"High Pressure","Low Pressure")</f>
        <v>High Pressure</v>
      </c>
      <c r="G861" t="s">
        <v>63</v>
      </c>
      <c r="H861">
        <v>1</v>
      </c>
      <c r="I861">
        <v>0</v>
      </c>
      <c r="J861" t="s">
        <v>69</v>
      </c>
      <c r="K861">
        <f>world_cup_matches9[[#This Row],[Home Goals]]+world_cup_matches9[[#This Row],[Away Goals]]</f>
        <v>1</v>
      </c>
      <c r="L861" t="s">
        <v>132</v>
      </c>
      <c r="M86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1" t="b">
        <v>1</v>
      </c>
    </row>
    <row r="862" spans="1:14" x14ac:dyDescent="0.3">
      <c r="A862">
        <v>199</v>
      </c>
      <c r="B862">
        <v>1966</v>
      </c>
      <c r="C862" s="2">
        <v>24316</v>
      </c>
      <c r="D862" s="3" cm="1">
        <f t="array" ref="D86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2" t="s">
        <v>42</v>
      </c>
      <c r="F862" t="str">
        <f>IF((world_cup_matches9[[#This Row],[StageOrder]]&gt;=7),"High Pressure","Low Pressure")</f>
        <v>High Pressure</v>
      </c>
      <c r="G862" t="s">
        <v>27</v>
      </c>
      <c r="H862">
        <v>2</v>
      </c>
      <c r="I862">
        <v>1</v>
      </c>
      <c r="J862" t="s">
        <v>54</v>
      </c>
      <c r="K862">
        <f>world_cup_matches9[[#This Row],[Home Goals]]+world_cup_matches9[[#This Row],[Away Goals]]</f>
        <v>3</v>
      </c>
      <c r="L862" t="s">
        <v>132</v>
      </c>
      <c r="M86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2" t="b">
        <v>0</v>
      </c>
    </row>
    <row r="863" spans="1:14" x14ac:dyDescent="0.3">
      <c r="A863">
        <v>231</v>
      </c>
      <c r="B863">
        <v>1970</v>
      </c>
      <c r="C863" s="2">
        <v>25739</v>
      </c>
      <c r="D863" s="3" cm="1">
        <f t="array" ref="D86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3" t="s">
        <v>42</v>
      </c>
      <c r="F863" t="str">
        <f>IF((world_cup_matches9[[#This Row],[StageOrder]]&gt;=7),"High Pressure","Low Pressure")</f>
        <v>High Pressure</v>
      </c>
      <c r="G863" t="s">
        <v>17</v>
      </c>
      <c r="H863">
        <v>1</v>
      </c>
      <c r="I863">
        <v>0</v>
      </c>
      <c r="J863" t="s">
        <v>29</v>
      </c>
      <c r="K863">
        <f>world_cup_matches9[[#This Row],[Home Goals]]+world_cup_matches9[[#This Row],[Away Goals]]</f>
        <v>1</v>
      </c>
      <c r="L863" t="s">
        <v>132</v>
      </c>
      <c r="M86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3" t="b">
        <v>0</v>
      </c>
    </row>
    <row r="864" spans="1:14" x14ac:dyDescent="0.3">
      <c r="A864">
        <v>269</v>
      </c>
      <c r="B864">
        <v>1974</v>
      </c>
      <c r="C864" s="2">
        <v>27216</v>
      </c>
      <c r="D864" s="3" cm="1">
        <f t="array" ref="D86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4" t="s">
        <v>42</v>
      </c>
      <c r="F864" t="str">
        <f>IF((world_cup_matches9[[#This Row],[StageOrder]]&gt;=7),"High Pressure","Low Pressure")</f>
        <v>High Pressure</v>
      </c>
      <c r="G864" t="s">
        <v>23</v>
      </c>
      <c r="H864">
        <v>0</v>
      </c>
      <c r="I864">
        <v>1</v>
      </c>
      <c r="J864" t="s">
        <v>10</v>
      </c>
      <c r="K864">
        <f>world_cup_matches9[[#This Row],[Home Goals]]+world_cup_matches9[[#This Row],[Away Goals]]</f>
        <v>1</v>
      </c>
      <c r="L864" t="s">
        <v>132</v>
      </c>
      <c r="M86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4" t="b">
        <v>0</v>
      </c>
    </row>
    <row r="865" spans="1:14" x14ac:dyDescent="0.3">
      <c r="A865">
        <v>307</v>
      </c>
      <c r="B865">
        <v>1978</v>
      </c>
      <c r="C865" s="2">
        <v>28665</v>
      </c>
      <c r="D865" s="3" cm="1">
        <f t="array" ref="D86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5" t="s">
        <v>42</v>
      </c>
      <c r="F865" t="str">
        <f>IF((world_cup_matches9[[#This Row],[StageOrder]]&gt;=7),"High Pressure","Low Pressure")</f>
        <v>High Pressure</v>
      </c>
      <c r="G865" t="s">
        <v>23</v>
      </c>
      <c r="H865">
        <v>2</v>
      </c>
      <c r="I865">
        <v>1</v>
      </c>
      <c r="J865" t="s">
        <v>46</v>
      </c>
      <c r="K865">
        <f>world_cup_matches9[[#This Row],[Home Goals]]+world_cup_matches9[[#This Row],[Away Goals]]</f>
        <v>3</v>
      </c>
      <c r="L865" t="s">
        <v>132</v>
      </c>
      <c r="M86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5" t="b">
        <v>0</v>
      </c>
    </row>
    <row r="866" spans="1:14" x14ac:dyDescent="0.3">
      <c r="A866">
        <v>359</v>
      </c>
      <c r="B866">
        <v>1982</v>
      </c>
      <c r="C866" s="2">
        <v>30142</v>
      </c>
      <c r="D866" s="3" cm="1">
        <f t="array" ref="D86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6" t="s">
        <v>42</v>
      </c>
      <c r="F866" t="str">
        <f>IF((world_cup_matches9[[#This Row],[StageOrder]]&gt;=7),"High Pressure","Low Pressure")</f>
        <v>High Pressure</v>
      </c>
      <c r="G866" t="s">
        <v>10</v>
      </c>
      <c r="H866">
        <v>3</v>
      </c>
      <c r="I866">
        <v>2</v>
      </c>
      <c r="J866" t="s">
        <v>11</v>
      </c>
      <c r="K866">
        <f>world_cup_matches9[[#This Row],[Home Goals]]+world_cup_matches9[[#This Row],[Away Goals]]</f>
        <v>5</v>
      </c>
      <c r="L866" t="s">
        <v>132</v>
      </c>
      <c r="M86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6" t="b">
        <v>0</v>
      </c>
    </row>
    <row r="867" spans="1:14" x14ac:dyDescent="0.3">
      <c r="A867">
        <v>411</v>
      </c>
      <c r="B867">
        <v>1986</v>
      </c>
      <c r="C867" s="2">
        <v>31591</v>
      </c>
      <c r="D867" s="3" cm="1">
        <f t="array" ref="D86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7" t="s">
        <v>42</v>
      </c>
      <c r="F867" t="str">
        <f>IF((world_cup_matches9[[#This Row],[StageOrder]]&gt;=7),"High Pressure","Low Pressure")</f>
        <v>High Pressure</v>
      </c>
      <c r="G867" t="s">
        <v>11</v>
      </c>
      <c r="H867">
        <v>4</v>
      </c>
      <c r="I867">
        <v>2</v>
      </c>
      <c r="J867" t="s">
        <v>19</v>
      </c>
      <c r="K867">
        <f>world_cup_matches9[[#This Row],[Home Goals]]+world_cup_matches9[[#This Row],[Away Goals]]</f>
        <v>6</v>
      </c>
      <c r="L867" t="s">
        <v>97</v>
      </c>
      <c r="M86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67" t="b">
        <v>0</v>
      </c>
    </row>
    <row r="868" spans="1:14" x14ac:dyDescent="0.3">
      <c r="A868">
        <v>463</v>
      </c>
      <c r="B868">
        <v>1990</v>
      </c>
      <c r="C868" s="2">
        <v>33061</v>
      </c>
      <c r="D868" s="3" cm="1">
        <f t="array" ref="D86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8" t="s">
        <v>42</v>
      </c>
      <c r="F868" t="str">
        <f>IF((world_cup_matches9[[#This Row],[StageOrder]]&gt;=7),"High Pressure","Low Pressure")</f>
        <v>High Pressure</v>
      </c>
      <c r="G868" t="s">
        <v>46</v>
      </c>
      <c r="H868">
        <v>2</v>
      </c>
      <c r="I868">
        <v>1</v>
      </c>
      <c r="J868" t="s">
        <v>3</v>
      </c>
      <c r="K868">
        <f>world_cup_matches9[[#This Row],[Home Goals]]+world_cup_matches9[[#This Row],[Away Goals]]</f>
        <v>3</v>
      </c>
      <c r="L868" t="s">
        <v>132</v>
      </c>
      <c r="M86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8" t="b">
        <v>1</v>
      </c>
    </row>
    <row r="869" spans="1:14" x14ac:dyDescent="0.3">
      <c r="A869">
        <v>515</v>
      </c>
      <c r="B869">
        <v>1994</v>
      </c>
      <c r="C869" s="2">
        <v>34531</v>
      </c>
      <c r="D869" s="3" cm="1">
        <f t="array" ref="D86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69" t="s">
        <v>42</v>
      </c>
      <c r="F869" t="str">
        <f>IF((world_cup_matches9[[#This Row],[StageOrder]]&gt;=7),"High Pressure","Low Pressure")</f>
        <v>High Pressure</v>
      </c>
      <c r="G869" t="s">
        <v>62</v>
      </c>
      <c r="H869">
        <v>4</v>
      </c>
      <c r="I869">
        <v>0</v>
      </c>
      <c r="J869" t="s">
        <v>74</v>
      </c>
      <c r="K869">
        <f>world_cup_matches9[[#This Row],[Home Goals]]+world_cup_matches9[[#This Row],[Away Goals]]</f>
        <v>4</v>
      </c>
      <c r="L869" t="s">
        <v>132</v>
      </c>
      <c r="M86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69" t="b">
        <v>0</v>
      </c>
    </row>
    <row r="870" spans="1:14" x14ac:dyDescent="0.3">
      <c r="A870">
        <v>579</v>
      </c>
      <c r="B870">
        <v>1998</v>
      </c>
      <c r="C870" s="2">
        <v>35987</v>
      </c>
      <c r="D870" s="3" cm="1">
        <f t="array" ref="D87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70" t="s">
        <v>42</v>
      </c>
      <c r="F870" t="str">
        <f>IF((world_cup_matches9[[#This Row],[StageOrder]]&gt;=7),"High Pressure","Low Pressure")</f>
        <v>High Pressure</v>
      </c>
      <c r="G870" t="s">
        <v>2</v>
      </c>
      <c r="H870">
        <v>1</v>
      </c>
      <c r="I870">
        <v>2</v>
      </c>
      <c r="J870" t="s">
        <v>22</v>
      </c>
      <c r="K870">
        <f>world_cup_matches9[[#This Row],[Home Goals]]+world_cup_matches9[[#This Row],[Away Goals]]</f>
        <v>3</v>
      </c>
      <c r="L870" t="s">
        <v>132</v>
      </c>
      <c r="M87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0" t="b">
        <v>0</v>
      </c>
    </row>
    <row r="871" spans="1:14" x14ac:dyDescent="0.3">
      <c r="A871">
        <v>643</v>
      </c>
      <c r="B871">
        <v>2002</v>
      </c>
      <c r="C871" s="2">
        <v>37436</v>
      </c>
      <c r="D871" s="3" cm="1">
        <f t="array" ref="D87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71" t="s">
        <v>42</v>
      </c>
      <c r="F871" t="str">
        <f>IF((world_cup_matches9[[#This Row],[StageOrder]]&gt;=7),"High Pressure","Low Pressure")</f>
        <v>High Pressure</v>
      </c>
      <c r="G871" t="s">
        <v>30</v>
      </c>
      <c r="H871">
        <v>2</v>
      </c>
      <c r="I871">
        <v>3</v>
      </c>
      <c r="J871" t="s">
        <v>45</v>
      </c>
      <c r="K871">
        <f>world_cup_matches9[[#This Row],[Home Goals]]+world_cup_matches9[[#This Row],[Away Goals]]</f>
        <v>5</v>
      </c>
      <c r="L871" t="s">
        <v>132</v>
      </c>
      <c r="M87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1" t="b">
        <v>1</v>
      </c>
    </row>
    <row r="872" spans="1:14" x14ac:dyDescent="0.3">
      <c r="A872">
        <v>707</v>
      </c>
      <c r="B872">
        <v>2006</v>
      </c>
      <c r="C872" s="2">
        <v>38906</v>
      </c>
      <c r="D872" s="3" cm="1">
        <f t="array" ref="D87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72" t="s">
        <v>42</v>
      </c>
      <c r="F872" t="str">
        <f>IF((world_cup_matches9[[#This Row],[StageOrder]]&gt;=7),"High Pressure","Low Pressure")</f>
        <v>High Pressure</v>
      </c>
      <c r="G872" t="s">
        <v>17</v>
      </c>
      <c r="H872">
        <v>3</v>
      </c>
      <c r="I872">
        <v>1</v>
      </c>
      <c r="J872" t="s">
        <v>27</v>
      </c>
      <c r="K872">
        <f>world_cup_matches9[[#This Row],[Home Goals]]+world_cup_matches9[[#This Row],[Away Goals]]</f>
        <v>4</v>
      </c>
      <c r="L872" t="s">
        <v>132</v>
      </c>
      <c r="M87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2" t="b">
        <v>1</v>
      </c>
    </row>
    <row r="873" spans="1:14" x14ac:dyDescent="0.3">
      <c r="A873">
        <v>771</v>
      </c>
      <c r="B873">
        <v>2010</v>
      </c>
      <c r="C873" s="2">
        <v>40369</v>
      </c>
      <c r="D873" s="3" cm="1">
        <f t="array" ref="D87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73" t="s">
        <v>42</v>
      </c>
      <c r="F873" t="str">
        <f>IF((world_cup_matches9[[#This Row],[StageOrder]]&gt;=7),"High Pressure","Low Pressure")</f>
        <v>High Pressure</v>
      </c>
      <c r="G873" t="s">
        <v>29</v>
      </c>
      <c r="H873">
        <v>2</v>
      </c>
      <c r="I873">
        <v>3</v>
      </c>
      <c r="J873" t="s">
        <v>17</v>
      </c>
      <c r="K873">
        <f>world_cup_matches9[[#This Row],[Home Goals]]+world_cup_matches9[[#This Row],[Away Goals]]</f>
        <v>5</v>
      </c>
      <c r="L873" t="s">
        <v>132</v>
      </c>
      <c r="M87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3" t="b">
        <v>0</v>
      </c>
    </row>
    <row r="874" spans="1:14" x14ac:dyDescent="0.3">
      <c r="A874">
        <v>835</v>
      </c>
      <c r="B874">
        <v>2014</v>
      </c>
      <c r="C874" s="2">
        <v>41832</v>
      </c>
      <c r="D874" s="3" cm="1">
        <f t="array" ref="D87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74" t="s">
        <v>42</v>
      </c>
      <c r="F874" t="str">
        <f>IF((world_cup_matches9[[#This Row],[StageOrder]]&gt;=7),"High Pressure","Low Pressure")</f>
        <v>High Pressure</v>
      </c>
      <c r="G874" t="s">
        <v>23</v>
      </c>
      <c r="H874">
        <v>0</v>
      </c>
      <c r="I874">
        <v>3</v>
      </c>
      <c r="J874" t="s">
        <v>2</v>
      </c>
      <c r="K874">
        <f>world_cup_matches9[[#This Row],[Home Goals]]+world_cup_matches9[[#This Row],[Away Goals]]</f>
        <v>3</v>
      </c>
      <c r="L874" t="s">
        <v>132</v>
      </c>
      <c r="M87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4" t="b">
        <v>1</v>
      </c>
    </row>
    <row r="875" spans="1:14" x14ac:dyDescent="0.3">
      <c r="A875">
        <v>899</v>
      </c>
      <c r="B875">
        <v>2018</v>
      </c>
      <c r="C875" s="2">
        <v>43295</v>
      </c>
      <c r="D875" s="3" cm="1">
        <f t="array" ref="D87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8</v>
      </c>
      <c r="E875" t="s">
        <v>42</v>
      </c>
      <c r="F875" t="str">
        <f>IF((world_cup_matches9[[#This Row],[StageOrder]]&gt;=7),"High Pressure","Low Pressure")</f>
        <v>High Pressure</v>
      </c>
      <c r="G875" t="s">
        <v>19</v>
      </c>
      <c r="H875">
        <v>2</v>
      </c>
      <c r="I875">
        <v>0</v>
      </c>
      <c r="J875" t="s">
        <v>3</v>
      </c>
      <c r="K875">
        <f>world_cup_matches9[[#This Row],[Home Goals]]+world_cup_matches9[[#This Row],[Away Goals]]</f>
        <v>2</v>
      </c>
      <c r="L875" t="s">
        <v>132</v>
      </c>
      <c r="M87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5" t="b">
        <v>0</v>
      </c>
    </row>
    <row r="876" spans="1:14" x14ac:dyDescent="0.3">
      <c r="A876">
        <v>70</v>
      </c>
      <c r="B876">
        <v>1950</v>
      </c>
      <c r="C876" s="2">
        <v>18453</v>
      </c>
      <c r="D876" s="3" cm="1">
        <f t="array" ref="D87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9</v>
      </c>
      <c r="E876" t="s">
        <v>99</v>
      </c>
      <c r="F876" t="str">
        <f>IF((world_cup_matches9[[#This Row],[StageOrder]]&gt;=7),"High Pressure","Low Pressure")</f>
        <v>High Pressure</v>
      </c>
      <c r="G876" t="s">
        <v>29</v>
      </c>
      <c r="H876">
        <v>2</v>
      </c>
      <c r="I876">
        <v>2</v>
      </c>
      <c r="J876" t="s">
        <v>15</v>
      </c>
      <c r="K876">
        <f>world_cup_matches9[[#This Row],[Home Goals]]+world_cup_matches9[[#This Row],[Away Goals]]</f>
        <v>4</v>
      </c>
      <c r="L876" t="s">
        <v>132</v>
      </c>
      <c r="M87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6" t="b">
        <v>0</v>
      </c>
    </row>
    <row r="877" spans="1:14" x14ac:dyDescent="0.3">
      <c r="A877">
        <v>71</v>
      </c>
      <c r="B877">
        <v>1950</v>
      </c>
      <c r="C877" s="2">
        <v>18453</v>
      </c>
      <c r="D877" s="3" cm="1">
        <f t="array" ref="D87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9</v>
      </c>
      <c r="E877" t="s">
        <v>99</v>
      </c>
      <c r="F877" t="str">
        <f>IF((world_cup_matches9[[#This Row],[StageOrder]]&gt;=7),"High Pressure","Low Pressure")</f>
        <v>High Pressure</v>
      </c>
      <c r="G877" t="s">
        <v>23</v>
      </c>
      <c r="H877">
        <v>7</v>
      </c>
      <c r="I877">
        <v>1</v>
      </c>
      <c r="J877" t="s">
        <v>62</v>
      </c>
      <c r="K877">
        <f>world_cup_matches9[[#This Row],[Home Goals]]+world_cup_matches9[[#This Row],[Away Goals]]</f>
        <v>8</v>
      </c>
      <c r="L877" t="s">
        <v>132</v>
      </c>
      <c r="M87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7" t="b">
        <v>1</v>
      </c>
    </row>
    <row r="878" spans="1:14" x14ac:dyDescent="0.3">
      <c r="A878">
        <v>72</v>
      </c>
      <c r="B878">
        <v>1950</v>
      </c>
      <c r="C878" s="2">
        <v>18457</v>
      </c>
      <c r="D878" s="3" cm="1">
        <f t="array" ref="D87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9</v>
      </c>
      <c r="E878" t="s">
        <v>99</v>
      </c>
      <c r="F878" t="str">
        <f>IF((world_cup_matches9[[#This Row],[StageOrder]]&gt;=7),"High Pressure","Low Pressure")</f>
        <v>High Pressure</v>
      </c>
      <c r="G878" t="s">
        <v>23</v>
      </c>
      <c r="H878">
        <v>6</v>
      </c>
      <c r="I878">
        <v>1</v>
      </c>
      <c r="J878" t="s">
        <v>15</v>
      </c>
      <c r="K878">
        <f>world_cup_matches9[[#This Row],[Home Goals]]+world_cup_matches9[[#This Row],[Away Goals]]</f>
        <v>7</v>
      </c>
      <c r="L878" t="s">
        <v>132</v>
      </c>
      <c r="M87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8" t="b">
        <v>1</v>
      </c>
    </row>
    <row r="879" spans="1:14" x14ac:dyDescent="0.3">
      <c r="A879">
        <v>73</v>
      </c>
      <c r="B879">
        <v>1950</v>
      </c>
      <c r="C879" s="2">
        <v>18457</v>
      </c>
      <c r="D879" s="3" cm="1">
        <f t="array" ref="D87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9</v>
      </c>
      <c r="E879" t="s">
        <v>99</v>
      </c>
      <c r="F879" t="str">
        <f>IF((world_cup_matches9[[#This Row],[StageOrder]]&gt;=7),"High Pressure","Low Pressure")</f>
        <v>High Pressure</v>
      </c>
      <c r="G879" t="s">
        <v>29</v>
      </c>
      <c r="H879">
        <v>3</v>
      </c>
      <c r="I879">
        <v>2</v>
      </c>
      <c r="J879" t="s">
        <v>62</v>
      </c>
      <c r="K879">
        <f>world_cup_matches9[[#This Row],[Home Goals]]+world_cup_matches9[[#This Row],[Away Goals]]</f>
        <v>5</v>
      </c>
      <c r="L879" t="s">
        <v>132</v>
      </c>
      <c r="M87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79" t="b">
        <v>0</v>
      </c>
    </row>
    <row r="880" spans="1:14" x14ac:dyDescent="0.3">
      <c r="A880">
        <v>74</v>
      </c>
      <c r="B880">
        <v>1950</v>
      </c>
      <c r="C880" s="2">
        <v>18460</v>
      </c>
      <c r="D880" s="3" cm="1">
        <f t="array" ref="D88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9</v>
      </c>
      <c r="E880" t="s">
        <v>99</v>
      </c>
      <c r="F880" t="str">
        <f>IF((world_cup_matches9[[#This Row],[StageOrder]]&gt;=7),"High Pressure","Low Pressure")</f>
        <v>High Pressure</v>
      </c>
      <c r="G880" t="s">
        <v>62</v>
      </c>
      <c r="H880">
        <v>3</v>
      </c>
      <c r="I880">
        <v>1</v>
      </c>
      <c r="J880" t="s">
        <v>15</v>
      </c>
      <c r="K880">
        <f>world_cup_matches9[[#This Row],[Home Goals]]+world_cup_matches9[[#This Row],[Away Goals]]</f>
        <v>4</v>
      </c>
      <c r="L880" t="s">
        <v>132</v>
      </c>
      <c r="M88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0" t="b">
        <v>0</v>
      </c>
    </row>
    <row r="881" spans="1:14" x14ac:dyDescent="0.3">
      <c r="A881">
        <v>75</v>
      </c>
      <c r="B881">
        <v>1950</v>
      </c>
      <c r="C881" s="2">
        <v>18460</v>
      </c>
      <c r="D881" s="3" cm="1">
        <f t="array" ref="D88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9</v>
      </c>
      <c r="E881" t="s">
        <v>99</v>
      </c>
      <c r="F881" t="str">
        <f>IF((world_cup_matches9[[#This Row],[StageOrder]]&gt;=7),"High Pressure","Low Pressure")</f>
        <v>High Pressure</v>
      </c>
      <c r="G881" t="s">
        <v>29</v>
      </c>
      <c r="H881">
        <v>2</v>
      </c>
      <c r="I881">
        <v>1</v>
      </c>
      <c r="J881" t="s">
        <v>23</v>
      </c>
      <c r="K881">
        <f>world_cup_matches9[[#This Row],[Home Goals]]+world_cup_matches9[[#This Row],[Away Goals]]</f>
        <v>3</v>
      </c>
      <c r="L881" t="s">
        <v>132</v>
      </c>
      <c r="M88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1" t="b">
        <v>1</v>
      </c>
    </row>
    <row r="882" spans="1:14" x14ac:dyDescent="0.3">
      <c r="A882">
        <v>18</v>
      </c>
      <c r="B882">
        <v>1930</v>
      </c>
      <c r="C882" s="2">
        <v>11169</v>
      </c>
      <c r="D882" s="3" cm="1">
        <f t="array" ref="D88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2" t="s">
        <v>43</v>
      </c>
      <c r="F882" t="str">
        <f>IF((world_cup_matches9[[#This Row],[StageOrder]]&gt;=7),"High Pressure","Low Pressure")</f>
        <v>High Pressure</v>
      </c>
      <c r="G882" t="s">
        <v>29</v>
      </c>
      <c r="H882">
        <v>4</v>
      </c>
      <c r="I882">
        <v>2</v>
      </c>
      <c r="J882" t="s">
        <v>7</v>
      </c>
      <c r="K882">
        <f>world_cup_matches9[[#This Row],[Home Goals]]+world_cup_matches9[[#This Row],[Away Goals]]</f>
        <v>6</v>
      </c>
      <c r="L882" t="s">
        <v>132</v>
      </c>
      <c r="M88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2" t="b">
        <v>1</v>
      </c>
    </row>
    <row r="883" spans="1:14" x14ac:dyDescent="0.3">
      <c r="A883">
        <v>35</v>
      </c>
      <c r="B883">
        <v>1934</v>
      </c>
      <c r="C883" s="2">
        <v>12580</v>
      </c>
      <c r="D883" s="3" cm="1">
        <f t="array" ref="D88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3" t="s">
        <v>43</v>
      </c>
      <c r="F883" t="str">
        <f>IF((world_cup_matches9[[#This Row],[StageOrder]]&gt;=7),"High Pressure","Low Pressure")</f>
        <v>High Pressure</v>
      </c>
      <c r="G883" t="s">
        <v>46</v>
      </c>
      <c r="H883">
        <v>2</v>
      </c>
      <c r="I883">
        <v>1</v>
      </c>
      <c r="J883" t="s">
        <v>61</v>
      </c>
      <c r="K883">
        <f>world_cup_matches9[[#This Row],[Home Goals]]+world_cup_matches9[[#This Row],[Away Goals]]</f>
        <v>3</v>
      </c>
      <c r="L883" t="s">
        <v>97</v>
      </c>
      <c r="M88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83" t="b">
        <v>1</v>
      </c>
    </row>
    <row r="884" spans="1:14" x14ac:dyDescent="0.3">
      <c r="A884">
        <v>53</v>
      </c>
      <c r="B884">
        <v>1938</v>
      </c>
      <c r="C884" s="2">
        <v>14050</v>
      </c>
      <c r="D884" s="3" cm="1">
        <f t="array" ref="D88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4" t="s">
        <v>43</v>
      </c>
      <c r="F884" t="str">
        <f>IF((world_cup_matches9[[#This Row],[StageOrder]]&gt;=7),"High Pressure","Low Pressure")</f>
        <v>High Pressure</v>
      </c>
      <c r="G884" t="s">
        <v>46</v>
      </c>
      <c r="H884">
        <v>4</v>
      </c>
      <c r="I884">
        <v>2</v>
      </c>
      <c r="J884" t="s">
        <v>52</v>
      </c>
      <c r="K884">
        <f>world_cup_matches9[[#This Row],[Home Goals]]+world_cup_matches9[[#This Row],[Away Goals]]</f>
        <v>6</v>
      </c>
      <c r="L884" t="s">
        <v>132</v>
      </c>
      <c r="M88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4" t="b">
        <v>0</v>
      </c>
    </row>
    <row r="885" spans="1:14" x14ac:dyDescent="0.3">
      <c r="A885">
        <v>101</v>
      </c>
      <c r="B885">
        <v>1954</v>
      </c>
      <c r="C885" s="2">
        <v>19909</v>
      </c>
      <c r="D885" s="3" cm="1">
        <f t="array" ref="D88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5" t="s">
        <v>43</v>
      </c>
      <c r="F885" t="str">
        <f>IF((world_cup_matches9[[#This Row],[StageOrder]]&gt;=7),"High Pressure","Low Pressure")</f>
        <v>High Pressure</v>
      </c>
      <c r="G885" t="s">
        <v>17</v>
      </c>
      <c r="H885">
        <v>3</v>
      </c>
      <c r="I885">
        <v>2</v>
      </c>
      <c r="J885" t="s">
        <v>52</v>
      </c>
      <c r="K885">
        <f>world_cup_matches9[[#This Row],[Home Goals]]+world_cup_matches9[[#This Row],[Away Goals]]</f>
        <v>5</v>
      </c>
      <c r="L885" t="s">
        <v>132</v>
      </c>
      <c r="M88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5" t="b">
        <v>0</v>
      </c>
    </row>
    <row r="886" spans="1:14" x14ac:dyDescent="0.3">
      <c r="A886">
        <v>136</v>
      </c>
      <c r="B886">
        <v>1958</v>
      </c>
      <c r="C886" s="2">
        <v>21365</v>
      </c>
      <c r="D886" s="3" cm="1">
        <f t="array" ref="D88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6" t="s">
        <v>43</v>
      </c>
      <c r="F886" t="str">
        <f>IF((world_cup_matches9[[#This Row],[StageOrder]]&gt;=7),"High Pressure","Low Pressure")</f>
        <v>High Pressure</v>
      </c>
      <c r="G886" t="s">
        <v>62</v>
      </c>
      <c r="H886">
        <v>2</v>
      </c>
      <c r="I886">
        <v>5</v>
      </c>
      <c r="J886" t="s">
        <v>23</v>
      </c>
      <c r="K886">
        <f>world_cup_matches9[[#This Row],[Home Goals]]+world_cup_matches9[[#This Row],[Away Goals]]</f>
        <v>7</v>
      </c>
      <c r="L886" t="s">
        <v>132</v>
      </c>
      <c r="M88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6" t="b">
        <v>1</v>
      </c>
    </row>
    <row r="887" spans="1:14" x14ac:dyDescent="0.3">
      <c r="A887">
        <v>168</v>
      </c>
      <c r="B887">
        <v>1962</v>
      </c>
      <c r="C887" s="2">
        <v>22814</v>
      </c>
      <c r="D887" s="3" cm="1">
        <f t="array" ref="D88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7" t="s">
        <v>43</v>
      </c>
      <c r="F887" t="str">
        <f>IF((world_cup_matches9[[#This Row],[StageOrder]]&gt;=7),"High Pressure","Low Pressure")</f>
        <v>High Pressure</v>
      </c>
      <c r="G887" t="s">
        <v>23</v>
      </c>
      <c r="H887">
        <v>3</v>
      </c>
      <c r="I887">
        <v>1</v>
      </c>
      <c r="J887" t="s">
        <v>61</v>
      </c>
      <c r="K887">
        <f>world_cup_matches9[[#This Row],[Home Goals]]+world_cup_matches9[[#This Row],[Away Goals]]</f>
        <v>4</v>
      </c>
      <c r="L887" t="s">
        <v>132</v>
      </c>
      <c r="M88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7" t="b">
        <v>0</v>
      </c>
    </row>
    <row r="888" spans="1:14" x14ac:dyDescent="0.3">
      <c r="A888">
        <v>200</v>
      </c>
      <c r="B888">
        <v>1966</v>
      </c>
      <c r="C888" s="2">
        <v>24318</v>
      </c>
      <c r="D888" s="3" cm="1">
        <f t="array" ref="D88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8" t="s">
        <v>43</v>
      </c>
      <c r="F888" t="str">
        <f>IF((world_cup_matches9[[#This Row],[StageOrder]]&gt;=7),"High Pressure","Low Pressure")</f>
        <v>High Pressure</v>
      </c>
      <c r="G888" t="s">
        <v>3</v>
      </c>
      <c r="H888">
        <v>4</v>
      </c>
      <c r="I888">
        <v>2</v>
      </c>
      <c r="J888" t="s">
        <v>17</v>
      </c>
      <c r="K888">
        <f>world_cup_matches9[[#This Row],[Home Goals]]+world_cup_matches9[[#This Row],[Away Goals]]</f>
        <v>6</v>
      </c>
      <c r="L888" t="s">
        <v>97</v>
      </c>
      <c r="M88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88" t="b">
        <v>1</v>
      </c>
    </row>
    <row r="889" spans="1:14" x14ac:dyDescent="0.3">
      <c r="A889">
        <v>232</v>
      </c>
      <c r="B889">
        <v>1970</v>
      </c>
      <c r="C889" s="2">
        <v>25740</v>
      </c>
      <c r="D889" s="3" cm="1">
        <f t="array" ref="D88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89" t="s">
        <v>43</v>
      </c>
      <c r="F889" t="str">
        <f>IF((world_cup_matches9[[#This Row],[StageOrder]]&gt;=7),"High Pressure","Low Pressure")</f>
        <v>High Pressure</v>
      </c>
      <c r="G889" t="s">
        <v>23</v>
      </c>
      <c r="H889">
        <v>4</v>
      </c>
      <c r="I889">
        <v>1</v>
      </c>
      <c r="J889" t="s">
        <v>46</v>
      </c>
      <c r="K889">
        <f>world_cup_matches9[[#This Row],[Home Goals]]+world_cup_matches9[[#This Row],[Away Goals]]</f>
        <v>5</v>
      </c>
      <c r="L889" t="s">
        <v>132</v>
      </c>
      <c r="M88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89" t="b">
        <v>0</v>
      </c>
    </row>
    <row r="890" spans="1:14" x14ac:dyDescent="0.3">
      <c r="A890">
        <v>270</v>
      </c>
      <c r="B890">
        <v>1974</v>
      </c>
      <c r="C890" s="2">
        <v>27217</v>
      </c>
      <c r="D890" s="3" cm="1">
        <f t="array" ref="D89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0" t="s">
        <v>43</v>
      </c>
      <c r="F890" t="str">
        <f>IF((world_cup_matches9[[#This Row],[StageOrder]]&gt;=7),"High Pressure","Low Pressure")</f>
        <v>High Pressure</v>
      </c>
      <c r="G890" t="s">
        <v>17</v>
      </c>
      <c r="H890">
        <v>2</v>
      </c>
      <c r="I890">
        <v>1</v>
      </c>
      <c r="J890" t="s">
        <v>2</v>
      </c>
      <c r="K890">
        <f>world_cup_matches9[[#This Row],[Home Goals]]+world_cup_matches9[[#This Row],[Away Goals]]</f>
        <v>3</v>
      </c>
      <c r="L890" t="s">
        <v>132</v>
      </c>
      <c r="M89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0" t="b">
        <v>1</v>
      </c>
    </row>
    <row r="891" spans="1:14" x14ac:dyDescent="0.3">
      <c r="A891">
        <v>308</v>
      </c>
      <c r="B891">
        <v>1978</v>
      </c>
      <c r="C891" s="2">
        <v>28666</v>
      </c>
      <c r="D891" s="3" cm="1">
        <f t="array" ref="D89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1" t="s">
        <v>43</v>
      </c>
      <c r="F891" t="str">
        <f>IF((world_cup_matches9[[#This Row],[StageOrder]]&gt;=7),"High Pressure","Low Pressure")</f>
        <v>High Pressure</v>
      </c>
      <c r="G891" t="s">
        <v>7</v>
      </c>
      <c r="H891">
        <v>3</v>
      </c>
      <c r="I891">
        <v>1</v>
      </c>
      <c r="J891" t="s">
        <v>2</v>
      </c>
      <c r="K891">
        <f>world_cup_matches9[[#This Row],[Home Goals]]+world_cup_matches9[[#This Row],[Away Goals]]</f>
        <v>4</v>
      </c>
      <c r="L891" t="s">
        <v>97</v>
      </c>
      <c r="M89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91" t="b">
        <v>1</v>
      </c>
    </row>
    <row r="892" spans="1:14" x14ac:dyDescent="0.3">
      <c r="A892">
        <v>360</v>
      </c>
      <c r="B892">
        <v>1982</v>
      </c>
      <c r="C892" s="2">
        <v>30143</v>
      </c>
      <c r="D892" s="3" cm="1">
        <f t="array" ref="D892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2" t="s">
        <v>43</v>
      </c>
      <c r="F892" t="str">
        <f>IF((world_cup_matches9[[#This Row],[StageOrder]]&gt;=7),"High Pressure","Low Pressure")</f>
        <v>High Pressure</v>
      </c>
      <c r="G892" t="s">
        <v>46</v>
      </c>
      <c r="H892">
        <v>3</v>
      </c>
      <c r="I892">
        <v>1</v>
      </c>
      <c r="J892" t="s">
        <v>17</v>
      </c>
      <c r="K892">
        <f>world_cup_matches9[[#This Row],[Home Goals]]+world_cup_matches9[[#This Row],[Away Goals]]</f>
        <v>4</v>
      </c>
      <c r="L892" t="s">
        <v>132</v>
      </c>
      <c r="M892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2" t="b">
        <v>0</v>
      </c>
    </row>
    <row r="893" spans="1:14" x14ac:dyDescent="0.3">
      <c r="A893">
        <v>412</v>
      </c>
      <c r="B893">
        <v>1986</v>
      </c>
      <c r="C893" s="2">
        <v>31592</v>
      </c>
      <c r="D893" s="3" cm="1">
        <f t="array" ref="D893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3" t="s">
        <v>43</v>
      </c>
      <c r="F893" t="str">
        <f>IF((world_cup_matches9[[#This Row],[StageOrder]]&gt;=7),"High Pressure","Low Pressure")</f>
        <v>High Pressure</v>
      </c>
      <c r="G893" t="s">
        <v>7</v>
      </c>
      <c r="H893">
        <v>3</v>
      </c>
      <c r="I893">
        <v>2</v>
      </c>
      <c r="J893" t="s">
        <v>17</v>
      </c>
      <c r="K893">
        <f>world_cup_matches9[[#This Row],[Home Goals]]+world_cup_matches9[[#This Row],[Away Goals]]</f>
        <v>5</v>
      </c>
      <c r="L893" t="s">
        <v>132</v>
      </c>
      <c r="M893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3" t="b">
        <v>0</v>
      </c>
    </row>
    <row r="894" spans="1:14" x14ac:dyDescent="0.3">
      <c r="A894">
        <v>464</v>
      </c>
      <c r="B894">
        <v>1990</v>
      </c>
      <c r="C894" s="2">
        <v>33062</v>
      </c>
      <c r="D894" s="3" cm="1">
        <f t="array" ref="D894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4" t="s">
        <v>43</v>
      </c>
      <c r="F894" t="str">
        <f>IF((world_cup_matches9[[#This Row],[StageOrder]]&gt;=7),"High Pressure","Low Pressure")</f>
        <v>High Pressure</v>
      </c>
      <c r="G894" t="s">
        <v>17</v>
      </c>
      <c r="H894">
        <v>1</v>
      </c>
      <c r="I894">
        <v>0</v>
      </c>
      <c r="J894" t="s">
        <v>7</v>
      </c>
      <c r="K894">
        <f>world_cup_matches9[[#This Row],[Home Goals]]+world_cup_matches9[[#This Row],[Away Goals]]</f>
        <v>1</v>
      </c>
      <c r="L894" t="s">
        <v>132</v>
      </c>
      <c r="M894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4" t="b">
        <v>0</v>
      </c>
    </row>
    <row r="895" spans="1:14" x14ac:dyDescent="0.3">
      <c r="A895">
        <v>516</v>
      </c>
      <c r="B895">
        <v>1994</v>
      </c>
      <c r="C895" s="2">
        <v>34532</v>
      </c>
      <c r="D895" s="3" cm="1">
        <f t="array" ref="D895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5" t="s">
        <v>43</v>
      </c>
      <c r="F895" t="str">
        <f>IF((world_cup_matches9[[#This Row],[StageOrder]]&gt;=7),"High Pressure","Low Pressure")</f>
        <v>High Pressure</v>
      </c>
      <c r="G895" t="s">
        <v>23</v>
      </c>
      <c r="H895">
        <v>0</v>
      </c>
      <c r="I895">
        <v>0</v>
      </c>
      <c r="J895" t="s">
        <v>46</v>
      </c>
      <c r="K895">
        <f>world_cup_matches9[[#This Row],[Home Goals]]+world_cup_matches9[[#This Row],[Away Goals]]</f>
        <v>0</v>
      </c>
      <c r="L895" t="s">
        <v>113</v>
      </c>
      <c r="M895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95" t="b">
        <v>0</v>
      </c>
    </row>
    <row r="896" spans="1:14" x14ac:dyDescent="0.3">
      <c r="A896">
        <v>580</v>
      </c>
      <c r="B896">
        <v>1998</v>
      </c>
      <c r="C896" s="2">
        <v>35988</v>
      </c>
      <c r="D896" s="3" cm="1">
        <f t="array" ref="D896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6" t="s">
        <v>43</v>
      </c>
      <c r="F896" t="str">
        <f>IF((world_cup_matches9[[#This Row],[StageOrder]]&gt;=7),"High Pressure","Low Pressure")</f>
        <v>High Pressure</v>
      </c>
      <c r="G896" t="s">
        <v>11</v>
      </c>
      <c r="H896">
        <v>3</v>
      </c>
      <c r="I896">
        <v>0</v>
      </c>
      <c r="J896" t="s">
        <v>23</v>
      </c>
      <c r="K896">
        <f>world_cup_matches9[[#This Row],[Home Goals]]+world_cup_matches9[[#This Row],[Away Goals]]</f>
        <v>3</v>
      </c>
      <c r="L896" t="s">
        <v>132</v>
      </c>
      <c r="M896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6" t="b">
        <v>1</v>
      </c>
    </row>
    <row r="897" spans="1:14" x14ac:dyDescent="0.3">
      <c r="A897">
        <v>644</v>
      </c>
      <c r="B897">
        <v>2002</v>
      </c>
      <c r="C897" s="2">
        <v>37437</v>
      </c>
      <c r="D897" s="3" cm="1">
        <f t="array" ref="D897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7" t="s">
        <v>43</v>
      </c>
      <c r="F897" t="str">
        <f>IF((world_cup_matches9[[#This Row],[StageOrder]]&gt;=7),"High Pressure","Low Pressure")</f>
        <v>High Pressure</v>
      </c>
      <c r="G897" t="s">
        <v>17</v>
      </c>
      <c r="H897">
        <v>0</v>
      </c>
      <c r="I897">
        <v>2</v>
      </c>
      <c r="J897" t="s">
        <v>23</v>
      </c>
      <c r="K897">
        <f>world_cup_matches9[[#This Row],[Home Goals]]+world_cup_matches9[[#This Row],[Away Goals]]</f>
        <v>2</v>
      </c>
      <c r="L897" t="s">
        <v>132</v>
      </c>
      <c r="M897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897" t="b">
        <v>0</v>
      </c>
    </row>
    <row r="898" spans="1:14" x14ac:dyDescent="0.3">
      <c r="A898">
        <v>708</v>
      </c>
      <c r="B898">
        <v>2006</v>
      </c>
      <c r="C898" s="2">
        <v>38907</v>
      </c>
      <c r="D898" s="3" cm="1">
        <f t="array" ref="D898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8" t="s">
        <v>43</v>
      </c>
      <c r="F898" t="str">
        <f>IF((world_cup_matches9[[#This Row],[StageOrder]]&gt;=7),"High Pressure","Low Pressure")</f>
        <v>High Pressure</v>
      </c>
      <c r="G898" t="s">
        <v>46</v>
      </c>
      <c r="H898">
        <v>1</v>
      </c>
      <c r="I898">
        <v>1</v>
      </c>
      <c r="J898" t="s">
        <v>11</v>
      </c>
      <c r="K898">
        <f>world_cup_matches9[[#This Row],[Home Goals]]+world_cup_matches9[[#This Row],[Away Goals]]</f>
        <v>2</v>
      </c>
      <c r="L898" t="s">
        <v>122</v>
      </c>
      <c r="M898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Penalties</v>
      </c>
      <c r="N898" t="b">
        <v>0</v>
      </c>
    </row>
    <row r="899" spans="1:14" x14ac:dyDescent="0.3">
      <c r="A899">
        <v>772</v>
      </c>
      <c r="B899">
        <v>2010</v>
      </c>
      <c r="C899" s="2">
        <v>40370</v>
      </c>
      <c r="D899" s="3" cm="1">
        <f t="array" ref="D899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899" t="s">
        <v>43</v>
      </c>
      <c r="F899" t="str">
        <f>IF((world_cup_matches9[[#This Row],[StageOrder]]&gt;=7),"High Pressure","Low Pressure")</f>
        <v>High Pressure</v>
      </c>
      <c r="G899" t="s">
        <v>2</v>
      </c>
      <c r="H899">
        <v>0</v>
      </c>
      <c r="I899">
        <v>1</v>
      </c>
      <c r="J899" t="s">
        <v>15</v>
      </c>
      <c r="K899">
        <f>world_cup_matches9[[#This Row],[Home Goals]]+world_cup_matches9[[#This Row],[Away Goals]]</f>
        <v>1</v>
      </c>
      <c r="L899" t="s">
        <v>97</v>
      </c>
      <c r="M899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899" t="b">
        <v>0</v>
      </c>
    </row>
    <row r="900" spans="1:14" x14ac:dyDescent="0.3">
      <c r="A900">
        <v>836</v>
      </c>
      <c r="B900">
        <v>2014</v>
      </c>
      <c r="C900" s="2">
        <v>41833</v>
      </c>
      <c r="D900" s="3" cm="1">
        <f t="array" ref="D900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900" t="s">
        <v>43</v>
      </c>
      <c r="F900" t="str">
        <f>IF((world_cup_matches9[[#This Row],[StageOrder]]&gt;=7),"High Pressure","Low Pressure")</f>
        <v>High Pressure</v>
      </c>
      <c r="G900" t="s">
        <v>17</v>
      </c>
      <c r="H900">
        <v>1</v>
      </c>
      <c r="I900">
        <v>0</v>
      </c>
      <c r="J900" t="s">
        <v>7</v>
      </c>
      <c r="K900">
        <f>world_cup_matches9[[#This Row],[Home Goals]]+world_cup_matches9[[#This Row],[Away Goals]]</f>
        <v>1</v>
      </c>
      <c r="L900" t="s">
        <v>97</v>
      </c>
      <c r="M900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Extra time</v>
      </c>
      <c r="N900" t="b">
        <v>0</v>
      </c>
    </row>
    <row r="901" spans="1:14" x14ac:dyDescent="0.3">
      <c r="A901">
        <v>900</v>
      </c>
      <c r="B901">
        <v>2018</v>
      </c>
      <c r="C901" s="2">
        <v>43296</v>
      </c>
      <c r="D901" s="3" cm="1">
        <f t="array" ref="D901">_xlfn.IFS(world_cup_matches9[[#This Row],[Stage]]="First group stage",1,
world_cup_matches9[[#This Row],[Stage]]="Group stage",2,
world_cup_matches9[[#This Row],[Stage]]="Second group stage",3,
world_cup_matches9[[#This Row],[Stage]]="First round",4,
world_cup_matches9[[#This Row],[Stage]]="Round of 16",5,
world_cup_matches9[[#This Row],[Stage]]="Quarter-finals",6,
world_cup_matches9[[#This Row],[Stage]]="Semi-finals",7,
world_cup_matches9[[#This Row],[Stage]]="Third place",8,
world_cup_matches9[[#This Row],[Stage]]="Final round",9,
world_cup_matches9[[#This Row],[Stage]]="Final",10
)</f>
        <v>10</v>
      </c>
      <c r="E901" t="s">
        <v>43</v>
      </c>
      <c r="F901" t="str">
        <f>IF((world_cup_matches9[[#This Row],[StageOrder]]&gt;=7),"High Pressure","Low Pressure")</f>
        <v>High Pressure</v>
      </c>
      <c r="G901" t="s">
        <v>11</v>
      </c>
      <c r="H901">
        <v>4</v>
      </c>
      <c r="I901">
        <v>2</v>
      </c>
      <c r="J901" t="s">
        <v>22</v>
      </c>
      <c r="K901">
        <f>world_cup_matches9[[#This Row],[Home Goals]]+world_cup_matches9[[#This Row],[Away Goals]]</f>
        <v>6</v>
      </c>
      <c r="L901" t="s">
        <v>132</v>
      </c>
      <c r="M901" t="str">
        <f>IF(ISNUMBER(SEARCH("penalt",world_cup_matches9[[#This Row],[Win Conditions]])),"Penalties",
IF(ISNUMBER(SEARCH("extra",world_cup_matches9[[#This Row],[Win Conditions]])),"Extra time",
IF(ISNUMBER(SEARCH("golden",world_cup_matches9[[#This Row],[Win Conditions]])),"Golden goal",
"Normal")))</f>
        <v>Normal</v>
      </c>
      <c r="N90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13FA-4E70-4BF2-AE6A-A0B07FE41A1A}">
  <dimension ref="A2:M30"/>
  <sheetViews>
    <sheetView zoomScale="90" zoomScaleNormal="90" workbookViewId="0">
      <selection activeCell="A2" sqref="A2:C2"/>
    </sheetView>
  </sheetViews>
  <sheetFormatPr defaultRowHeight="14.4" x14ac:dyDescent="0.3"/>
  <cols>
    <col min="1" max="1" width="17.88671875" bestFit="1" customWidth="1"/>
    <col min="2" max="2" width="16.6640625" bestFit="1" customWidth="1"/>
    <col min="3" max="3" width="12.5546875" bestFit="1" customWidth="1"/>
    <col min="4" max="4" width="10.88671875" bestFit="1" customWidth="1"/>
    <col min="5" max="5" width="17.88671875" bestFit="1" customWidth="1"/>
    <col min="6" max="6" width="16.77734375" bestFit="1" customWidth="1"/>
    <col min="7" max="7" width="12.44140625" bestFit="1" customWidth="1"/>
    <col min="8" max="8" width="12" bestFit="1" customWidth="1"/>
    <col min="9" max="9" width="12.44140625" bestFit="1" customWidth="1"/>
    <col min="10" max="10" width="12" bestFit="1" customWidth="1"/>
    <col min="11" max="11" width="12.44140625" bestFit="1" customWidth="1"/>
    <col min="12" max="12" width="12" bestFit="1" customWidth="1"/>
    <col min="13" max="13" width="12.44140625" bestFit="1" customWidth="1"/>
    <col min="14" max="14" width="20.21875" bestFit="1" customWidth="1"/>
    <col min="15" max="15" width="10.88671875" bestFit="1" customWidth="1"/>
    <col min="16" max="16" width="20.21875" bestFit="1" customWidth="1"/>
  </cols>
  <sheetData>
    <row r="2" spans="1:13" x14ac:dyDescent="0.3">
      <c r="A2" s="9" t="s">
        <v>140</v>
      </c>
      <c r="B2" s="9"/>
      <c r="C2" s="9"/>
      <c r="E2" s="10" t="s">
        <v>145</v>
      </c>
      <c r="F2" s="11"/>
      <c r="G2" s="11"/>
      <c r="H2" s="11"/>
      <c r="I2" s="11"/>
      <c r="J2" s="11"/>
    </row>
    <row r="3" spans="1:13" x14ac:dyDescent="0.3">
      <c r="A3" s="4" t="s">
        <v>141</v>
      </c>
      <c r="B3" t="s">
        <v>151</v>
      </c>
      <c r="C3" t="s">
        <v>156</v>
      </c>
      <c r="F3" s="4" t="s">
        <v>143</v>
      </c>
    </row>
    <row r="4" spans="1:13" x14ac:dyDescent="0.3">
      <c r="A4" s="5" t="s">
        <v>43</v>
      </c>
      <c r="B4" s="3">
        <v>10</v>
      </c>
      <c r="C4" s="3">
        <v>74</v>
      </c>
      <c r="F4" t="s">
        <v>97</v>
      </c>
      <c r="H4" t="s">
        <v>116</v>
      </c>
      <c r="J4" t="s">
        <v>132</v>
      </c>
      <c r="L4" t="s">
        <v>142</v>
      </c>
    </row>
    <row r="5" spans="1:13" x14ac:dyDescent="0.3">
      <c r="A5" s="5" t="s">
        <v>99</v>
      </c>
      <c r="B5" s="3">
        <v>9</v>
      </c>
      <c r="C5" s="3">
        <v>31</v>
      </c>
      <c r="E5" s="4" t="s">
        <v>136</v>
      </c>
      <c r="F5" t="s">
        <v>152</v>
      </c>
      <c r="G5" t="s">
        <v>153</v>
      </c>
      <c r="H5" t="s">
        <v>152</v>
      </c>
      <c r="I5" t="s">
        <v>153</v>
      </c>
      <c r="J5" t="s">
        <v>152</v>
      </c>
      <c r="K5" t="s">
        <v>153</v>
      </c>
      <c r="L5" t="s">
        <v>152</v>
      </c>
      <c r="M5" t="s">
        <v>153</v>
      </c>
    </row>
    <row r="6" spans="1:13" x14ac:dyDescent="0.3">
      <c r="A6" s="5" t="s">
        <v>100</v>
      </c>
      <c r="B6" s="3">
        <v>1</v>
      </c>
      <c r="C6" s="3">
        <v>223</v>
      </c>
      <c r="E6" s="5" t="s">
        <v>100</v>
      </c>
      <c r="F6" s="1"/>
      <c r="G6" s="6">
        <v>0</v>
      </c>
      <c r="H6" s="1"/>
      <c r="I6" s="6">
        <v>0</v>
      </c>
      <c r="J6" s="1">
        <v>84</v>
      </c>
      <c r="K6" s="6">
        <v>1</v>
      </c>
      <c r="L6" s="1"/>
      <c r="M6" s="6">
        <v>0</v>
      </c>
    </row>
    <row r="7" spans="1:13" x14ac:dyDescent="0.3">
      <c r="A7" s="5" t="s">
        <v>98</v>
      </c>
      <c r="B7" s="3">
        <v>4</v>
      </c>
      <c r="C7" s="3">
        <v>57</v>
      </c>
      <c r="E7" s="5" t="s">
        <v>38</v>
      </c>
      <c r="F7" s="1">
        <v>1</v>
      </c>
      <c r="G7" s="6">
        <v>1.893939393939394E-3</v>
      </c>
      <c r="H7" s="1"/>
      <c r="I7" s="6">
        <v>0</v>
      </c>
      <c r="J7" s="1">
        <v>527</v>
      </c>
      <c r="K7" s="6">
        <v>0.99810606060606055</v>
      </c>
      <c r="L7" s="1"/>
      <c r="M7" s="6">
        <v>0</v>
      </c>
    </row>
    <row r="8" spans="1:13" x14ac:dyDescent="0.3">
      <c r="A8" s="5" t="s">
        <v>38</v>
      </c>
      <c r="B8" s="3">
        <v>2</v>
      </c>
      <c r="C8" s="3">
        <v>1408</v>
      </c>
      <c r="E8" s="5" t="s">
        <v>102</v>
      </c>
      <c r="F8" s="1"/>
      <c r="G8" s="6">
        <v>0</v>
      </c>
      <c r="H8" s="1"/>
      <c r="I8" s="6">
        <v>0</v>
      </c>
      <c r="J8" s="1">
        <v>36</v>
      </c>
      <c r="K8" s="6">
        <v>1</v>
      </c>
      <c r="L8" s="1"/>
      <c r="M8" s="6">
        <v>0</v>
      </c>
    </row>
    <row r="9" spans="1:13" x14ac:dyDescent="0.3">
      <c r="A9" s="5" t="s">
        <v>40</v>
      </c>
      <c r="B9" s="3">
        <v>6</v>
      </c>
      <c r="C9" s="3">
        <v>186</v>
      </c>
      <c r="E9" s="5" t="s">
        <v>98</v>
      </c>
      <c r="F9" s="1"/>
      <c r="G9" s="6">
        <v>0</v>
      </c>
      <c r="H9" s="1"/>
      <c r="I9" s="6">
        <v>0</v>
      </c>
      <c r="J9" s="1">
        <v>16</v>
      </c>
      <c r="K9" s="6">
        <v>1</v>
      </c>
      <c r="L9" s="1"/>
      <c r="M9" s="6">
        <v>0</v>
      </c>
    </row>
    <row r="10" spans="1:13" x14ac:dyDescent="0.3">
      <c r="A10" s="5" t="s">
        <v>39</v>
      </c>
      <c r="B10" s="3">
        <v>5</v>
      </c>
      <c r="C10" s="3">
        <v>275</v>
      </c>
      <c r="E10" s="5" t="s">
        <v>39</v>
      </c>
      <c r="F10" s="1">
        <v>15</v>
      </c>
      <c r="G10" s="6">
        <v>0.16853932584269662</v>
      </c>
      <c r="H10" s="1">
        <v>2</v>
      </c>
      <c r="I10" s="6">
        <v>2.247191011235955E-2</v>
      </c>
      <c r="J10" s="1">
        <v>61</v>
      </c>
      <c r="K10" s="6">
        <v>0.6853932584269663</v>
      </c>
      <c r="L10" s="1">
        <v>11</v>
      </c>
      <c r="M10" s="6">
        <v>0.12359550561797752</v>
      </c>
    </row>
    <row r="11" spans="1:13" x14ac:dyDescent="0.3">
      <c r="A11" s="5" t="s">
        <v>102</v>
      </c>
      <c r="B11" s="3">
        <v>3</v>
      </c>
      <c r="C11" s="3">
        <v>94</v>
      </c>
      <c r="E11" s="5" t="s">
        <v>40</v>
      </c>
      <c r="F11" s="1">
        <v>3</v>
      </c>
      <c r="G11" s="6">
        <v>4.5454545454545456E-2</v>
      </c>
      <c r="H11" s="1">
        <v>1</v>
      </c>
      <c r="I11" s="6">
        <v>1.5151515151515152E-2</v>
      </c>
      <c r="J11" s="1">
        <v>50</v>
      </c>
      <c r="K11" s="6">
        <v>0.75757575757575757</v>
      </c>
      <c r="L11" s="1">
        <v>12</v>
      </c>
      <c r="M11" s="6">
        <v>0.18181818181818182</v>
      </c>
    </row>
    <row r="12" spans="1:13" x14ac:dyDescent="0.3">
      <c r="A12" s="5" t="s">
        <v>41</v>
      </c>
      <c r="B12" s="3">
        <v>7</v>
      </c>
      <c r="C12" s="3">
        <v>127</v>
      </c>
      <c r="E12" s="5" t="s">
        <v>41</v>
      </c>
      <c r="F12" s="1">
        <v>4</v>
      </c>
      <c r="G12" s="6">
        <v>0.1111111111111111</v>
      </c>
      <c r="H12" s="1"/>
      <c r="I12" s="6">
        <v>0</v>
      </c>
      <c r="J12" s="1">
        <v>27</v>
      </c>
      <c r="K12" s="6">
        <v>0.75</v>
      </c>
      <c r="L12" s="1">
        <v>5</v>
      </c>
      <c r="M12" s="6">
        <v>0.1388888888888889</v>
      </c>
    </row>
    <row r="13" spans="1:13" x14ac:dyDescent="0.3">
      <c r="A13" s="5" t="s">
        <v>42</v>
      </c>
      <c r="B13" s="3">
        <v>8</v>
      </c>
      <c r="C13" s="3">
        <v>73</v>
      </c>
      <c r="E13" s="5" t="s">
        <v>42</v>
      </c>
      <c r="F13" s="1">
        <v>1</v>
      </c>
      <c r="G13" s="6">
        <v>5.2631578947368418E-2</v>
      </c>
      <c r="H13" s="1"/>
      <c r="I13" s="6">
        <v>0</v>
      </c>
      <c r="J13" s="1">
        <v>18</v>
      </c>
      <c r="K13" s="6">
        <v>0.94736842105263153</v>
      </c>
      <c r="L13" s="1"/>
      <c r="M13" s="6">
        <v>0</v>
      </c>
    </row>
    <row r="14" spans="1:13" x14ac:dyDescent="0.3">
      <c r="A14" s="5" t="s">
        <v>137</v>
      </c>
      <c r="B14" s="3">
        <v>1</v>
      </c>
      <c r="C14" s="3">
        <v>2548</v>
      </c>
      <c r="E14" s="5" t="s">
        <v>99</v>
      </c>
      <c r="F14" s="1"/>
      <c r="G14" s="6">
        <v>0</v>
      </c>
      <c r="H14" s="1"/>
      <c r="I14" s="6">
        <v>0</v>
      </c>
      <c r="J14" s="1">
        <v>6</v>
      </c>
      <c r="K14" s="6">
        <v>1</v>
      </c>
      <c r="L14" s="1"/>
      <c r="M14" s="6">
        <v>0</v>
      </c>
    </row>
    <row r="15" spans="1:13" x14ac:dyDescent="0.3">
      <c r="E15" s="5" t="s">
        <v>43</v>
      </c>
      <c r="F15" s="1">
        <v>5</v>
      </c>
      <c r="G15" s="6">
        <v>0.25</v>
      </c>
      <c r="H15" s="1"/>
      <c r="I15" s="6">
        <v>0</v>
      </c>
      <c r="J15" s="1">
        <v>13</v>
      </c>
      <c r="K15" s="6">
        <v>0.65</v>
      </c>
      <c r="L15" s="1">
        <v>2</v>
      </c>
      <c r="M15" s="6">
        <v>0.1</v>
      </c>
    </row>
    <row r="18" spans="1:12" x14ac:dyDescent="0.3">
      <c r="A18" s="9" t="s">
        <v>146</v>
      </c>
      <c r="B18" s="9"/>
      <c r="C18" s="9"/>
      <c r="H18" t="s">
        <v>147</v>
      </c>
    </row>
    <row r="19" spans="1:12" x14ac:dyDescent="0.3">
      <c r="A19" s="4" t="s">
        <v>154</v>
      </c>
      <c r="B19" s="4" t="s">
        <v>143</v>
      </c>
      <c r="H19" s="4" t="s">
        <v>144</v>
      </c>
      <c r="I19" s="4" t="s">
        <v>143</v>
      </c>
    </row>
    <row r="20" spans="1:12" x14ac:dyDescent="0.3">
      <c r="A20" s="4" t="s">
        <v>136</v>
      </c>
      <c r="B20" t="s">
        <v>139</v>
      </c>
      <c r="C20" t="s">
        <v>138</v>
      </c>
      <c r="H20" s="4" t="s">
        <v>136</v>
      </c>
      <c r="I20" t="s">
        <v>97</v>
      </c>
      <c r="J20" t="s">
        <v>116</v>
      </c>
      <c r="K20" t="s">
        <v>132</v>
      </c>
      <c r="L20" t="s">
        <v>142</v>
      </c>
    </row>
    <row r="21" spans="1:12" x14ac:dyDescent="0.3">
      <c r="A21" s="5" t="s">
        <v>100</v>
      </c>
      <c r="B21" s="6">
        <v>0.10714285714285714</v>
      </c>
      <c r="C21" s="6">
        <v>0.8928571428571429</v>
      </c>
      <c r="H21" s="5" t="s">
        <v>149</v>
      </c>
      <c r="I21" s="6">
        <v>0.12345679012345678</v>
      </c>
      <c r="J21" s="6">
        <v>0</v>
      </c>
      <c r="K21" s="6">
        <v>0.79012345679012341</v>
      </c>
      <c r="L21" s="6">
        <v>8.6419753086419748E-2</v>
      </c>
    </row>
    <row r="22" spans="1:12" x14ac:dyDescent="0.3">
      <c r="A22" s="5" t="s">
        <v>38</v>
      </c>
      <c r="B22" s="6">
        <v>8.9015151515151519E-2</v>
      </c>
      <c r="C22" s="6">
        <v>0.91098484848484851</v>
      </c>
      <c r="H22" s="5" t="s">
        <v>150</v>
      </c>
      <c r="I22" s="6">
        <v>2.31990231990232E-2</v>
      </c>
      <c r="J22" s="6">
        <v>3.663003663003663E-3</v>
      </c>
      <c r="K22" s="6">
        <v>0.94505494505494503</v>
      </c>
      <c r="L22" s="6">
        <v>2.8083028083028084E-2</v>
      </c>
    </row>
    <row r="23" spans="1:12" x14ac:dyDescent="0.3">
      <c r="A23" s="5" t="s">
        <v>102</v>
      </c>
      <c r="B23" s="6">
        <v>0.22222222222222221</v>
      </c>
      <c r="C23" s="6">
        <v>0.77777777777777779</v>
      </c>
    </row>
    <row r="24" spans="1:12" x14ac:dyDescent="0.3">
      <c r="A24" s="5" t="s">
        <v>98</v>
      </c>
      <c r="B24" s="6">
        <v>0.1875</v>
      </c>
      <c r="C24" s="6">
        <v>0.8125</v>
      </c>
    </row>
    <row r="25" spans="1:12" x14ac:dyDescent="0.3">
      <c r="A25" s="5" t="s">
        <v>39</v>
      </c>
      <c r="B25" s="6">
        <v>0.12359550561797752</v>
      </c>
      <c r="C25" s="6">
        <v>0.8764044943820225</v>
      </c>
    </row>
    <row r="26" spans="1:12" x14ac:dyDescent="0.3">
      <c r="A26" s="5" t="s">
        <v>40</v>
      </c>
      <c r="B26" s="6">
        <v>0.22727272727272727</v>
      </c>
      <c r="C26" s="6">
        <v>0.77272727272727271</v>
      </c>
    </row>
    <row r="27" spans="1:12" x14ac:dyDescent="0.3">
      <c r="A27" s="5" t="s">
        <v>41</v>
      </c>
      <c r="B27" s="6">
        <v>0.27777777777777779</v>
      </c>
      <c r="C27" s="6">
        <v>0.72222222222222221</v>
      </c>
    </row>
    <row r="28" spans="1:12" x14ac:dyDescent="0.3">
      <c r="A28" s="5" t="s">
        <v>42</v>
      </c>
      <c r="B28" s="6">
        <v>0.26315789473684209</v>
      </c>
      <c r="C28" s="6">
        <v>0.73684210526315785</v>
      </c>
    </row>
    <row r="29" spans="1:12" x14ac:dyDescent="0.3">
      <c r="A29" s="5" t="s">
        <v>99</v>
      </c>
      <c r="B29" s="6">
        <v>0.5</v>
      </c>
      <c r="C29" s="6">
        <v>0.5</v>
      </c>
    </row>
    <row r="30" spans="1:12" x14ac:dyDescent="0.3">
      <c r="A30" s="5" t="s">
        <v>43</v>
      </c>
      <c r="B30" s="6">
        <v>0.35</v>
      </c>
      <c r="C30" s="6">
        <v>0.65</v>
      </c>
    </row>
  </sheetData>
  <mergeCells count="3">
    <mergeCell ref="E2:J2"/>
    <mergeCell ref="A18:C18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2F58B-A458-4DB1-9CD0-73EE05D3EBFF}">
  <dimension ref="A1:H12"/>
  <sheetViews>
    <sheetView showGridLines="0" zoomScaleNormal="100" workbookViewId="0">
      <selection activeCell="K25" sqref="K25"/>
    </sheetView>
  </sheetViews>
  <sheetFormatPr defaultRowHeight="14.4" x14ac:dyDescent="0.3"/>
  <cols>
    <col min="1" max="1" width="16.6640625" bestFit="1" customWidth="1"/>
    <col min="2" max="2" width="14.6640625" bestFit="1" customWidth="1"/>
    <col min="3" max="3" width="9" bestFit="1" customWidth="1"/>
  </cols>
  <sheetData>
    <row r="1" spans="1:8" x14ac:dyDescent="0.3">
      <c r="A1" s="9" t="s">
        <v>140</v>
      </c>
      <c r="B1" s="9"/>
      <c r="C1" s="9"/>
      <c r="D1" s="9"/>
      <c r="E1" s="9"/>
      <c r="F1" s="9"/>
      <c r="G1" s="9"/>
      <c r="H1" s="9"/>
    </row>
    <row r="2" spans="1:8" x14ac:dyDescent="0.3">
      <c r="A2" s="4" t="s">
        <v>34</v>
      </c>
      <c r="B2" t="s">
        <v>155</v>
      </c>
    </row>
    <row r="3" spans="1:8" x14ac:dyDescent="0.3">
      <c r="A3" t="s">
        <v>100</v>
      </c>
      <c r="B3" s="3">
        <v>2.6547619047619047</v>
      </c>
    </row>
    <row r="4" spans="1:8" x14ac:dyDescent="0.3">
      <c r="A4" t="s">
        <v>38</v>
      </c>
      <c r="B4" s="3">
        <v>2.6666666666666665</v>
      </c>
    </row>
    <row r="5" spans="1:8" x14ac:dyDescent="0.3">
      <c r="A5" t="s">
        <v>102</v>
      </c>
      <c r="B5" s="3">
        <v>2.6111111111111112</v>
      </c>
    </row>
    <row r="6" spans="1:8" x14ac:dyDescent="0.3">
      <c r="A6" t="s">
        <v>98</v>
      </c>
      <c r="B6" s="3">
        <v>3.5625</v>
      </c>
    </row>
    <row r="7" spans="1:8" x14ac:dyDescent="0.3">
      <c r="A7" t="s">
        <v>39</v>
      </c>
      <c r="B7" s="3">
        <v>3.0898876404494384</v>
      </c>
    </row>
    <row r="8" spans="1:8" x14ac:dyDescent="0.3">
      <c r="A8" t="s">
        <v>40</v>
      </c>
      <c r="B8" s="3">
        <v>2.8181818181818183</v>
      </c>
    </row>
    <row r="9" spans="1:8" x14ac:dyDescent="0.3">
      <c r="A9" t="s">
        <v>41</v>
      </c>
      <c r="B9" s="3">
        <v>3.5277777777777777</v>
      </c>
    </row>
    <row r="10" spans="1:8" x14ac:dyDescent="0.3">
      <c r="A10" t="s">
        <v>42</v>
      </c>
      <c r="B10" s="3">
        <v>3.8421052631578947</v>
      </c>
    </row>
    <row r="11" spans="1:8" x14ac:dyDescent="0.3">
      <c r="A11" t="s">
        <v>99</v>
      </c>
      <c r="B11" s="3">
        <v>5.166666666666667</v>
      </c>
    </row>
    <row r="12" spans="1:8" x14ac:dyDescent="0.3">
      <c r="A12" t="s">
        <v>43</v>
      </c>
      <c r="B12" s="3">
        <v>3.7</v>
      </c>
    </row>
  </sheetData>
  <mergeCells count="1">
    <mergeCell ref="A1:H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2FD7-82FA-4D6C-9533-3248C6842614}">
  <dimension ref="A1:S13"/>
  <sheetViews>
    <sheetView showGridLines="0" zoomScaleNormal="100" workbookViewId="0">
      <selection activeCell="F6" sqref="F6"/>
    </sheetView>
  </sheetViews>
  <sheetFormatPr defaultRowHeight="14.4" x14ac:dyDescent="0.3"/>
  <cols>
    <col min="1" max="1" width="16.6640625" bestFit="1" customWidth="1"/>
    <col min="2" max="2" width="11.109375" bestFit="1" customWidth="1"/>
    <col min="3" max="3" width="10.77734375" bestFit="1" customWidth="1"/>
    <col min="4" max="4" width="8.109375" bestFit="1" customWidth="1"/>
    <col min="5" max="5" width="8.77734375" bestFit="1" customWidth="1"/>
    <col min="6" max="9" width="11.77734375" bestFit="1" customWidth="1"/>
  </cols>
  <sheetData>
    <row r="1" spans="1:19" x14ac:dyDescent="0.3">
      <c r="A1" s="10" t="s">
        <v>145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">
      <c r="A2" s="4" t="s">
        <v>153</v>
      </c>
      <c r="B2" s="4" t="s">
        <v>134</v>
      </c>
    </row>
    <row r="3" spans="1:19" x14ac:dyDescent="0.3">
      <c r="A3" s="4" t="s">
        <v>34</v>
      </c>
      <c r="B3" t="s">
        <v>97</v>
      </c>
      <c r="C3" t="s">
        <v>116</v>
      </c>
      <c r="D3" t="s">
        <v>132</v>
      </c>
      <c r="E3" t="s">
        <v>142</v>
      </c>
    </row>
    <row r="4" spans="1:19" x14ac:dyDescent="0.3">
      <c r="A4" t="s">
        <v>100</v>
      </c>
      <c r="B4" s="6">
        <v>0</v>
      </c>
      <c r="C4" s="6">
        <v>0</v>
      </c>
      <c r="D4" s="6">
        <v>1</v>
      </c>
      <c r="E4" s="6">
        <v>0</v>
      </c>
    </row>
    <row r="5" spans="1:19" x14ac:dyDescent="0.3">
      <c r="A5" t="s">
        <v>38</v>
      </c>
      <c r="B5" s="6">
        <v>1.893939393939394E-3</v>
      </c>
      <c r="C5" s="6">
        <v>0</v>
      </c>
      <c r="D5" s="6">
        <v>0.99810606060606055</v>
      </c>
      <c r="E5" s="6">
        <v>0</v>
      </c>
    </row>
    <row r="6" spans="1:19" x14ac:dyDescent="0.3">
      <c r="A6" t="s">
        <v>102</v>
      </c>
      <c r="B6" s="6">
        <v>0</v>
      </c>
      <c r="C6" s="6">
        <v>0</v>
      </c>
      <c r="D6" s="6">
        <v>1</v>
      </c>
      <c r="E6" s="6">
        <v>0</v>
      </c>
    </row>
    <row r="7" spans="1:19" x14ac:dyDescent="0.3">
      <c r="A7" t="s">
        <v>98</v>
      </c>
      <c r="B7" s="6">
        <v>0</v>
      </c>
      <c r="C7" s="6">
        <v>0</v>
      </c>
      <c r="D7" s="6">
        <v>1</v>
      </c>
      <c r="E7" s="6">
        <v>0</v>
      </c>
    </row>
    <row r="8" spans="1:19" x14ac:dyDescent="0.3">
      <c r="A8" t="s">
        <v>39</v>
      </c>
      <c r="B8" s="6">
        <v>0.16853932584269662</v>
      </c>
      <c r="C8" s="6">
        <v>2.247191011235955E-2</v>
      </c>
      <c r="D8" s="6">
        <v>0.6853932584269663</v>
      </c>
      <c r="E8" s="6">
        <v>0.12359550561797752</v>
      </c>
    </row>
    <row r="9" spans="1:19" x14ac:dyDescent="0.3">
      <c r="A9" t="s">
        <v>40</v>
      </c>
      <c r="B9" s="6">
        <v>4.5454545454545456E-2</v>
      </c>
      <c r="C9" s="6">
        <v>1.5151515151515152E-2</v>
      </c>
      <c r="D9" s="6">
        <v>0.75757575757575757</v>
      </c>
      <c r="E9" s="6">
        <v>0.18181818181818182</v>
      </c>
    </row>
    <row r="10" spans="1:19" x14ac:dyDescent="0.3">
      <c r="A10" t="s">
        <v>41</v>
      </c>
      <c r="B10" s="6">
        <v>0.1111111111111111</v>
      </c>
      <c r="C10" s="6">
        <v>0</v>
      </c>
      <c r="D10" s="6">
        <v>0.75</v>
      </c>
      <c r="E10" s="6">
        <v>0.1388888888888889</v>
      </c>
    </row>
    <row r="11" spans="1:19" x14ac:dyDescent="0.3">
      <c r="A11" t="s">
        <v>42</v>
      </c>
      <c r="B11" s="6">
        <v>5.2631578947368418E-2</v>
      </c>
      <c r="C11" s="6">
        <v>0</v>
      </c>
      <c r="D11" s="6">
        <v>0.94736842105263153</v>
      </c>
      <c r="E11" s="6">
        <v>0</v>
      </c>
    </row>
    <row r="12" spans="1:19" x14ac:dyDescent="0.3">
      <c r="A12" t="s">
        <v>99</v>
      </c>
      <c r="B12" s="6">
        <v>0</v>
      </c>
      <c r="C12" s="6">
        <v>0</v>
      </c>
      <c r="D12" s="6">
        <v>1</v>
      </c>
      <c r="E12" s="6">
        <v>0</v>
      </c>
    </row>
    <row r="13" spans="1:19" x14ac:dyDescent="0.3">
      <c r="A13" t="s">
        <v>43</v>
      </c>
      <c r="B13" s="6">
        <v>0.25</v>
      </c>
      <c r="C13" s="6">
        <v>0</v>
      </c>
      <c r="D13" s="6">
        <v>0.65</v>
      </c>
      <c r="E13" s="6">
        <v>0.1</v>
      </c>
    </row>
  </sheetData>
  <mergeCells count="1">
    <mergeCell ref="A1:S1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5CA6-C4E9-4796-BEEF-5025D10E60FC}">
  <dimension ref="A1:L13"/>
  <sheetViews>
    <sheetView showGridLines="0" workbookViewId="0">
      <selection activeCell="A2" sqref="A2"/>
    </sheetView>
  </sheetViews>
  <sheetFormatPr defaultRowHeight="14.4" x14ac:dyDescent="0.3"/>
  <cols>
    <col min="1" max="1" width="16.6640625" bestFit="1" customWidth="1"/>
    <col min="2" max="2" width="13.21875" bestFit="1" customWidth="1"/>
    <col min="3" max="3" width="8.88671875" bestFit="1" customWidth="1"/>
  </cols>
  <sheetData>
    <row r="1" spans="1:12" x14ac:dyDescent="0.3">
      <c r="A1" s="9" t="s">
        <v>146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4" t="s">
        <v>154</v>
      </c>
      <c r="B2" s="4" t="s">
        <v>133</v>
      </c>
    </row>
    <row r="3" spans="1:12" x14ac:dyDescent="0.3">
      <c r="A3" s="4" t="s">
        <v>34</v>
      </c>
      <c r="B3" t="s">
        <v>139</v>
      </c>
      <c r="C3" t="s">
        <v>138</v>
      </c>
    </row>
    <row r="4" spans="1:12" x14ac:dyDescent="0.3">
      <c r="A4" t="s">
        <v>100</v>
      </c>
      <c r="B4" s="6">
        <v>0.10714285714285714</v>
      </c>
      <c r="C4" s="6">
        <v>0.8928571428571429</v>
      </c>
    </row>
    <row r="5" spans="1:12" x14ac:dyDescent="0.3">
      <c r="A5" t="s">
        <v>38</v>
      </c>
      <c r="B5" s="6">
        <v>8.9015151515151519E-2</v>
      </c>
      <c r="C5" s="6">
        <v>0.91098484848484851</v>
      </c>
    </row>
    <row r="6" spans="1:12" x14ac:dyDescent="0.3">
      <c r="A6" t="s">
        <v>102</v>
      </c>
      <c r="B6" s="6">
        <v>0.22222222222222221</v>
      </c>
      <c r="C6" s="6">
        <v>0.77777777777777779</v>
      </c>
    </row>
    <row r="7" spans="1:12" x14ac:dyDescent="0.3">
      <c r="A7" t="s">
        <v>98</v>
      </c>
      <c r="B7" s="6">
        <v>0.1875</v>
      </c>
      <c r="C7" s="6">
        <v>0.8125</v>
      </c>
    </row>
    <row r="8" spans="1:12" x14ac:dyDescent="0.3">
      <c r="A8" t="s">
        <v>39</v>
      </c>
      <c r="B8" s="6">
        <v>0.12359550561797752</v>
      </c>
      <c r="C8" s="6">
        <v>0.8764044943820225</v>
      </c>
    </row>
    <row r="9" spans="1:12" x14ac:dyDescent="0.3">
      <c r="A9" t="s">
        <v>40</v>
      </c>
      <c r="B9" s="6">
        <v>0.22727272727272727</v>
      </c>
      <c r="C9" s="6">
        <v>0.77272727272727271</v>
      </c>
    </row>
    <row r="10" spans="1:12" x14ac:dyDescent="0.3">
      <c r="A10" t="s">
        <v>41</v>
      </c>
      <c r="B10" s="6">
        <v>0.27777777777777779</v>
      </c>
      <c r="C10" s="6">
        <v>0.72222222222222221</v>
      </c>
    </row>
    <row r="11" spans="1:12" x14ac:dyDescent="0.3">
      <c r="A11" t="s">
        <v>42</v>
      </c>
      <c r="B11" s="6">
        <v>0.26315789473684209</v>
      </c>
      <c r="C11" s="6">
        <v>0.73684210526315785</v>
      </c>
    </row>
    <row r="12" spans="1:12" x14ac:dyDescent="0.3">
      <c r="A12" t="s">
        <v>99</v>
      </c>
      <c r="B12" s="6">
        <v>0.5</v>
      </c>
      <c r="C12" s="6">
        <v>0.5</v>
      </c>
    </row>
    <row r="13" spans="1:12" x14ac:dyDescent="0.3">
      <c r="A13" t="s">
        <v>43</v>
      </c>
      <c r="B13" s="6">
        <v>0.35</v>
      </c>
      <c r="C13" s="6">
        <v>0.65</v>
      </c>
    </row>
  </sheetData>
  <mergeCells count="1">
    <mergeCell ref="A1:L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F946-F349-4918-B98A-2CFF519780F5}">
  <dimension ref="A1:L5"/>
  <sheetViews>
    <sheetView showGridLines="0" workbookViewId="0">
      <selection activeCell="M3" sqref="M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.44140625" bestFit="1" customWidth="1"/>
    <col min="4" max="4" width="8.77734375" bestFit="1" customWidth="1"/>
    <col min="5" max="5" width="10.77734375" bestFit="1" customWidth="1"/>
    <col min="6" max="6" width="9.88671875" bestFit="1" customWidth="1"/>
    <col min="7" max="7" width="18.88671875" bestFit="1" customWidth="1"/>
    <col min="8" max="8" width="9.88671875" bestFit="1" customWidth="1"/>
    <col min="9" max="9" width="18.88671875" bestFit="1" customWidth="1"/>
  </cols>
  <sheetData>
    <row r="1" spans="1:12" x14ac:dyDescent="0.3">
      <c r="A1" s="9" t="s">
        <v>147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3">
      <c r="A2" s="4" t="s">
        <v>144</v>
      </c>
      <c r="B2" s="4" t="s">
        <v>143</v>
      </c>
    </row>
    <row r="3" spans="1:12" x14ac:dyDescent="0.3">
      <c r="A3" s="4" t="s">
        <v>136</v>
      </c>
      <c r="B3" t="s">
        <v>132</v>
      </c>
      <c r="C3" t="s">
        <v>97</v>
      </c>
      <c r="D3" t="s">
        <v>142</v>
      </c>
    </row>
    <row r="4" spans="1:12" x14ac:dyDescent="0.3">
      <c r="A4" s="5" t="s">
        <v>150</v>
      </c>
      <c r="B4" s="6">
        <v>0.94852941176470584</v>
      </c>
      <c r="C4" s="6">
        <v>2.3284313725490197E-2</v>
      </c>
      <c r="D4" s="6">
        <v>2.8186274509803922E-2</v>
      </c>
    </row>
    <row r="5" spans="1:12" x14ac:dyDescent="0.3">
      <c r="A5" s="5" t="s">
        <v>149</v>
      </c>
      <c r="B5" s="6">
        <v>0.79012345679012341</v>
      </c>
      <c r="C5" s="6">
        <v>0.12345679012345678</v>
      </c>
      <c r="D5" s="6">
        <v>8.6419753086419748E-2</v>
      </c>
    </row>
  </sheetData>
  <mergeCells count="1">
    <mergeCell ref="A1:L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28ABC9-BE46-4F92-B87B-98BE34521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fact_worldcup_matches</vt:lpstr>
      <vt:lpstr>Pivots_Core</vt:lpstr>
      <vt:lpstr>01_Goals_by_Stage</vt:lpstr>
      <vt:lpstr>02_Win_Method_by_Stage</vt:lpstr>
      <vt:lpstr>03_Host_Advantage</vt:lpstr>
      <vt:lpstr>04_High_vs_Low_Pressure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penchala</dc:creator>
  <cp:lastModifiedBy>vishal penchala</cp:lastModifiedBy>
  <dcterms:created xsi:type="dcterms:W3CDTF">2026-02-10T15:02:44Z</dcterms:created>
  <dcterms:modified xsi:type="dcterms:W3CDTF">2026-02-26T05:40:24Z</dcterms:modified>
</cp:coreProperties>
</file>